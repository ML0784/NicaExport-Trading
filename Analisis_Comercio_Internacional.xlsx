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6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  <Override PartName="/xl/drawings/_rels/drawing1.xml.rels" ContentType="application/vnd.openxmlformats-package.relationship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1. Operaciones" sheetId="1" state="visible" r:id="rId3"/>
    <sheet name="2. Productos" sheetId="2" state="visible" r:id="rId4"/>
    <sheet name="3. Mercados" sheetId="3" state="visible" r:id="rId5"/>
    <sheet name="4. Preguntas" sheetId="4" state="visible" r:id="rId6"/>
    <sheet name="5. Tablas Dinamicas" sheetId="5" state="visible" r:id="rId7"/>
    <sheet name="6. Graficos" sheetId="6" state="visible" r:id="rId8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<sst xmlns="http://schemas.openxmlformats.org/spreadsheetml/2006/main" count="661" uniqueCount="213">
  <si>
    <t xml:space="preserve">ID_Operación</t>
  </si>
  <si>
    <t xml:space="preserve">Fecha</t>
  </si>
  <si>
    <t xml:space="preserve">Cliente</t>
  </si>
  <si>
    <t xml:space="preserve">Código Producto</t>
  </si>
  <si>
    <t xml:space="preserve">País Destino</t>
  </si>
  <si>
    <t xml:space="preserve">Unidades</t>
  </si>
  <si>
    <t xml:space="preserve">Precio FOB</t>
  </si>
  <si>
    <t xml:space="preserve">Costo Unitario</t>
  </si>
  <si>
    <t xml:space="preserve">Estado</t>
  </si>
  <si>
    <t xml:space="preserve">Producto</t>
  </si>
  <si>
    <t xml:space="preserve">Categoría</t>
  </si>
  <si>
    <t xml:space="preserve">Región</t>
  </si>
  <si>
    <t xml:space="preserve">Arancel %</t>
  </si>
  <si>
    <t xml:space="preserve">Clasificación Mercado</t>
  </si>
  <si>
    <t xml:space="preserve">Valor FOB</t>
  </si>
  <si>
    <t xml:space="preserve">Costo Total</t>
  </si>
  <si>
    <t xml:space="preserve">Utilidad</t>
  </si>
  <si>
    <t xml:space="preserve">Margen</t>
  </si>
  <si>
    <t xml:space="preserve">Nivel de Rentabilidad</t>
  </si>
  <si>
    <t xml:space="preserve">Nivel de Operación (Valor FOB)</t>
  </si>
  <si>
    <t xml:space="preserve">Prioridad Comercial</t>
  </si>
  <si>
    <t xml:space="preserve">EX001</t>
  </si>
  <si>
    <t xml:space="preserve">Comercial Maya</t>
  </si>
  <si>
    <t xml:space="preserve">P003</t>
  </si>
  <si>
    <t xml:space="preserve">Guatemala</t>
  </si>
  <si>
    <t xml:space="preserve">Embarcado</t>
  </si>
  <si>
    <t xml:space="preserve">EX002</t>
  </si>
  <si>
    <t xml:space="preserve">Global Foods</t>
  </si>
  <si>
    <t xml:space="preserve">P001</t>
  </si>
  <si>
    <t xml:space="preserve">EE.UU.</t>
  </si>
  <si>
    <t xml:space="preserve">Entregado</t>
  </si>
  <si>
    <t xml:space="preserve">EX003</t>
  </si>
  <si>
    <t xml:space="preserve">Distribuidora Tica</t>
  </si>
  <si>
    <t xml:space="preserve">P004</t>
  </si>
  <si>
    <t xml:space="preserve">Costa Rica</t>
  </si>
  <si>
    <t xml:space="preserve">EX004</t>
  </si>
  <si>
    <t xml:space="preserve">Iberia Foods</t>
  </si>
  <si>
    <t xml:space="preserve">P002</t>
  </si>
  <si>
    <t xml:space="preserve">España</t>
  </si>
  <si>
    <t xml:space="preserve">Pendiente</t>
  </si>
  <si>
    <t xml:space="preserve">EX005</t>
  </si>
  <si>
    <t xml:space="preserve">Comercial Azteca</t>
  </si>
  <si>
    <t xml:space="preserve">P005</t>
  </si>
  <si>
    <t xml:space="preserve">México</t>
  </si>
  <si>
    <t xml:space="preserve">EX006</t>
  </si>
  <si>
    <t xml:space="preserve">EX007</t>
  </si>
  <si>
    <t xml:space="preserve">EX008</t>
  </si>
  <si>
    <t xml:space="preserve">EX009</t>
  </si>
  <si>
    <t xml:space="preserve">EX010</t>
  </si>
  <si>
    <t xml:space="preserve">EX011</t>
  </si>
  <si>
    <t xml:space="preserve">EX012</t>
  </si>
  <si>
    <t xml:space="preserve">EX013</t>
  </si>
  <si>
    <t xml:space="preserve">EX014</t>
  </si>
  <si>
    <t xml:space="preserve">EX015</t>
  </si>
  <si>
    <t xml:space="preserve">EX016</t>
  </si>
  <si>
    <t xml:space="preserve">EX017</t>
  </si>
  <si>
    <t xml:space="preserve">EX018</t>
  </si>
  <si>
    <t xml:space="preserve">EX019</t>
  </si>
  <si>
    <t xml:space="preserve">EX020</t>
  </si>
  <si>
    <t xml:space="preserve">EX021</t>
  </si>
  <si>
    <t xml:space="preserve">EX022</t>
  </si>
  <si>
    <t xml:space="preserve">EX023</t>
  </si>
  <si>
    <t xml:space="preserve">EX024</t>
  </si>
  <si>
    <t xml:space="preserve">EX025</t>
  </si>
  <si>
    <t xml:space="preserve">EX026</t>
  </si>
  <si>
    <t xml:space="preserve">EX027</t>
  </si>
  <si>
    <t xml:space="preserve">EX028</t>
  </si>
  <si>
    <t xml:space="preserve">EX029</t>
  </si>
  <si>
    <t xml:space="preserve">EX030</t>
  </si>
  <si>
    <t xml:space="preserve">EX031</t>
  </si>
  <si>
    <t xml:space="preserve">EX032</t>
  </si>
  <si>
    <t xml:space="preserve">EX033</t>
  </si>
  <si>
    <t xml:space="preserve">EX034</t>
  </si>
  <si>
    <t xml:space="preserve">EX035</t>
  </si>
  <si>
    <t xml:space="preserve">EX036</t>
  </si>
  <si>
    <t xml:space="preserve">EX037</t>
  </si>
  <si>
    <t xml:space="preserve">EX038</t>
  </si>
  <si>
    <t xml:space="preserve">EX039</t>
  </si>
  <si>
    <t xml:space="preserve">EX040</t>
  </si>
  <si>
    <t xml:space="preserve">EX041</t>
  </si>
  <si>
    <t xml:space="preserve">EX042</t>
  </si>
  <si>
    <t xml:space="preserve">EX043</t>
  </si>
  <si>
    <t xml:space="preserve">EX044</t>
  </si>
  <si>
    <t xml:space="preserve">EX045</t>
  </si>
  <si>
    <t xml:space="preserve">EX046</t>
  </si>
  <si>
    <t xml:space="preserve">EX047</t>
  </si>
  <si>
    <t xml:space="preserve">EX048</t>
  </si>
  <si>
    <t xml:space="preserve">EX049</t>
  </si>
  <si>
    <t xml:space="preserve">EX050</t>
  </si>
  <si>
    <t xml:space="preserve">EX051</t>
  </si>
  <si>
    <t xml:space="preserve">EX052</t>
  </si>
  <si>
    <t xml:space="preserve">EX053</t>
  </si>
  <si>
    <t xml:space="preserve">EX054</t>
  </si>
  <si>
    <t xml:space="preserve">EX055</t>
  </si>
  <si>
    <t xml:space="preserve">EX056</t>
  </si>
  <si>
    <t xml:space="preserve">EX057</t>
  </si>
  <si>
    <t xml:space="preserve">EX058</t>
  </si>
  <si>
    <t xml:space="preserve">EX059</t>
  </si>
  <si>
    <t xml:space="preserve">EX060</t>
  </si>
  <si>
    <t xml:space="preserve">EX061</t>
  </si>
  <si>
    <t xml:space="preserve">EX062</t>
  </si>
  <si>
    <t xml:space="preserve">EX063</t>
  </si>
  <si>
    <t xml:space="preserve">EX064</t>
  </si>
  <si>
    <t xml:space="preserve">EX065</t>
  </si>
  <si>
    <t xml:space="preserve">EX066</t>
  </si>
  <si>
    <t xml:space="preserve">EX067</t>
  </si>
  <si>
    <t xml:space="preserve">EX068</t>
  </si>
  <si>
    <t xml:space="preserve">EX069</t>
  </si>
  <si>
    <t xml:space="preserve">EX070</t>
  </si>
  <si>
    <t xml:space="preserve">EX071</t>
  </si>
  <si>
    <t xml:space="preserve">EX072</t>
  </si>
  <si>
    <t xml:space="preserve">EX073</t>
  </si>
  <si>
    <t xml:space="preserve">EX074</t>
  </si>
  <si>
    <t xml:space="preserve">EX075</t>
  </si>
  <si>
    <t xml:space="preserve">EX076</t>
  </si>
  <si>
    <t xml:space="preserve">EX077</t>
  </si>
  <si>
    <t xml:space="preserve">EX078</t>
  </si>
  <si>
    <t xml:space="preserve">EX079</t>
  </si>
  <si>
    <t xml:space="preserve">EX080</t>
  </si>
  <si>
    <t xml:space="preserve">EX081</t>
  </si>
  <si>
    <t xml:space="preserve">EX082</t>
  </si>
  <si>
    <t xml:space="preserve">EX083</t>
  </si>
  <si>
    <t xml:space="preserve">EX084</t>
  </si>
  <si>
    <t xml:space="preserve">EX085</t>
  </si>
  <si>
    <t xml:space="preserve">EX086</t>
  </si>
  <si>
    <t xml:space="preserve">EX087</t>
  </si>
  <si>
    <t xml:space="preserve">EX088</t>
  </si>
  <si>
    <t xml:space="preserve">EX089</t>
  </si>
  <si>
    <t xml:space="preserve">EX090</t>
  </si>
  <si>
    <t xml:space="preserve">EX091</t>
  </si>
  <si>
    <t xml:space="preserve">EX092</t>
  </si>
  <si>
    <t xml:space="preserve">EX093</t>
  </si>
  <si>
    <t xml:space="preserve">EX094</t>
  </si>
  <si>
    <t xml:space="preserve">EX095</t>
  </si>
  <si>
    <t xml:space="preserve">EX096</t>
  </si>
  <si>
    <t xml:space="preserve">EX097</t>
  </si>
  <si>
    <t xml:space="preserve">EX098</t>
  </si>
  <si>
    <t xml:space="preserve">EX099</t>
  </si>
  <si>
    <t xml:space="preserve">EX100</t>
  </si>
  <si>
    <t xml:space="preserve">Catálogo de Productos</t>
  </si>
  <si>
    <t xml:space="preserve">Código</t>
  </si>
  <si>
    <t xml:space="preserve">Unidad de Medida</t>
  </si>
  <si>
    <t xml:space="preserve">Café especial</t>
  </si>
  <si>
    <t xml:space="preserve">Café</t>
  </si>
  <si>
    <t xml:space="preserve">Kg</t>
  </si>
  <si>
    <t xml:space="preserve">Cacao en grano</t>
  </si>
  <si>
    <t xml:space="preserve">Cacao</t>
  </si>
  <si>
    <t xml:space="preserve">Miel natural</t>
  </si>
  <si>
    <t xml:space="preserve">Apícola</t>
  </si>
  <si>
    <t xml:space="preserve">Maní procesado</t>
  </si>
  <si>
    <t xml:space="preserve">Semillas</t>
  </si>
  <si>
    <t xml:space="preserve">Aceite de ajonjolí</t>
  </si>
  <si>
    <t xml:space="preserve">Aceites</t>
  </si>
  <si>
    <t xml:space="preserve">Litro</t>
  </si>
  <si>
    <t xml:space="preserve">Mercados</t>
  </si>
  <si>
    <t xml:space="preserve">País</t>
  </si>
  <si>
    <t xml:space="preserve">Clasificación</t>
  </si>
  <si>
    <t xml:space="preserve">Norteamérica</t>
  </si>
  <si>
    <t xml:space="preserve">Estratégico</t>
  </si>
  <si>
    <t xml:space="preserve">Potencial</t>
  </si>
  <si>
    <t xml:space="preserve">Centroamérica</t>
  </si>
  <si>
    <t xml:space="preserve">El Salvador</t>
  </si>
  <si>
    <t xml:space="preserve">Europa</t>
  </si>
  <si>
    <t xml:space="preserve">Respuestas a las Preguntas de Análisis (Punto 9 de la Guía)</t>
  </si>
  <si>
    <t xml:space="preserve">Nº</t>
  </si>
  <si>
    <t xml:space="preserve">Pregunta</t>
  </si>
  <si>
    <t xml:space="preserve">Fórmula (Excel, notación en español)</t>
  </si>
  <si>
    <t xml:space="preserve">Resultado</t>
  </si>
  <si>
    <t xml:space="preserve">Región (aux)</t>
  </si>
  <si>
    <t xml:space="preserve">Margen Promedio (aux)</t>
  </si>
  <si>
    <t xml:space="preserve">¿Cuántas operaciones internacionales se realizaron?</t>
  </si>
  <si>
    <t xml:space="preserve">contara(B4:B103)</t>
  </si>
  <si>
    <t xml:space="preserve">¿Cuántas operaciones están pendientes?</t>
  </si>
  <si>
    <t xml:space="preserve">contar.si(J4:J103,"Pendiente")</t>
  </si>
  <si>
    <t xml:space="preserve">¿Cuál es el país con mayor cantidad de operaciones?</t>
  </si>
  <si>
    <t xml:space="preserve">indice(mercados!país,coincidir(MAX(contar.si(F:F,mercados!país)),contar.si(F:F,mercados!país),0))</t>
  </si>
  <si>
    <t xml:space="preserve">¿Cuál es el país que genera mayor valor FOB?</t>
  </si>
  <si>
    <t xml:space="preserve">indice(mercados!país,coincidir(MAX(sumar.si(F:F,mercados!país,P:P)),sumar.si(...),0))</t>
  </si>
  <si>
    <t xml:space="preserve">¿Cuál es el producto más exportado por unidades?</t>
  </si>
  <si>
    <t xml:space="preserve">indice(productos!producto,coincidir(MAX(sumar.si(K:K,productos!producto,G:G)),...,0))</t>
  </si>
  <si>
    <t xml:space="preserve">¿Cuál es el producto que genera mayor utilidad?</t>
  </si>
  <si>
    <t xml:space="preserve">indice(productos!producto,coincidir(MAX(sumar.si(K:K,productos!producto,R:R)),...,0))</t>
  </si>
  <si>
    <t xml:space="preserve">¿Cuál es el mercado (región) con mayor margen promedio?</t>
  </si>
  <si>
    <t xml:space="preserve">indice(mercados!región,coincidir(MAX(promedio.si(M:M,mercados!región,S:S)),...,0))</t>
  </si>
  <si>
    <t xml:space="preserve">¿Cuántas operaciones tienen rentabilidad alta?</t>
  </si>
  <si>
    <t xml:space="preserve">contar.si(T4:T103,"Alta")</t>
  </si>
  <si>
    <t xml:space="preserve">¿Cuánto se exportó (Valor FOB) hacia Centroamérica?</t>
  </si>
  <si>
    <t xml:space="preserve">sumar.si(M4:M103,"Centroamérica",P4:P103)</t>
  </si>
  <si>
    <t xml:space="preserve">¿Cuánto se exportó (Valor FOB) hacia Norteamérica?</t>
  </si>
  <si>
    <t xml:space="preserve">sumar.si(M4:M103,"Norteamérica",P4:P103)</t>
  </si>
  <si>
    <t xml:space="preserve">¿Cuánto se exportó (Valor FOB) hacia Europa?</t>
  </si>
  <si>
    <t xml:space="preserve">sumar.si(M4:M103,"Europa",P4:P103)</t>
  </si>
  <si>
    <t xml:space="preserve">¿Cuántas operaciones tienen prioridad comercial alta?</t>
  </si>
  <si>
    <t xml:space="preserve">contar.si(V4:V103,"Alta")</t>
  </si>
  <si>
    <t xml:space="preserve">¿Qué cliente genera mayor valor de exportación?</t>
  </si>
  <si>
    <t xml:space="preserve">indice(D4:D103,coincidir(MAX(sumar.si(D:D,D:D,P:P)),sumar.si(D:D,D:D,P:P),0))</t>
  </si>
  <si>
    <t xml:space="preserve">¿Cuántas operaciones requieren atención por estar pendientes?</t>
  </si>
  <si>
    <t xml:space="preserve">Tablas Resumen (equivalentes a Tablas Dinámicas)</t>
  </si>
  <si>
    <t xml:space="preserve">Tabla Dinámica 1: Valor FOB por País</t>
  </si>
  <si>
    <t xml:space="preserve">Tabla Auxiliar A: Unidades Exportadas por Producto</t>
  </si>
  <si>
    <t xml:space="preserve">Valor FOB (Suma)</t>
  </si>
  <si>
    <t xml:space="preserve">Nº Operaciones</t>
  </si>
  <si>
    <t xml:space="preserve">Unidades (Suma)</t>
  </si>
  <si>
    <t xml:space="preserve">Total</t>
  </si>
  <si>
    <t xml:space="preserve">Tabla Auxiliar B: Valor FOB por Cliente</t>
  </si>
  <si>
    <t xml:space="preserve">Tabla Dinámica 2: Utilidad por Producto</t>
  </si>
  <si>
    <t xml:space="preserve">Utilidad (Suma)</t>
  </si>
  <si>
    <t xml:space="preserve">Tabla Dinámica 3: Ventas (Valor FOB) por Región</t>
  </si>
  <si>
    <t xml:space="preserve">Tabla Dinámica 4: Operaciones por Clasificación de Prioridad</t>
  </si>
  <si>
    <t xml:space="preserve">Alta</t>
  </si>
  <si>
    <t xml:space="preserve">Media</t>
  </si>
  <si>
    <t xml:space="preserve">Baja</t>
  </si>
  <si>
    <t xml:space="preserve">Gráficos Analíticos</t>
  </si>
</sst>
</file>

<file path=xl/styles.xml><?xml version="1.0" encoding="utf-8"?>
<styleSheet xmlns="http://schemas.openxmlformats.org/spreadsheetml/2006/main">
  <numFmts count="7">
    <numFmt numFmtId="164" formatCode="General"/>
    <numFmt numFmtId="165" formatCode="m/d/yyyy"/>
    <numFmt numFmtId="166" formatCode="0%"/>
    <numFmt numFmtId="167" formatCode="\$#,##0.00"/>
    <numFmt numFmtId="168" formatCode="0.0%"/>
    <numFmt numFmtId="169" formatCode="\$#,##0"/>
    <numFmt numFmtId="170" formatCode="General"/>
  </numFmts>
  <fonts count="13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theme="1"/>
      <name val="Calibri"/>
      <family val="2"/>
      <charset val="1"/>
    </font>
    <font>
      <b val="true"/>
      <sz val="10"/>
      <color rgb="FFFFFFFF"/>
      <name val="Arial"/>
      <family val="0"/>
      <charset val="1"/>
    </font>
    <font>
      <b val="true"/>
      <sz val="13"/>
      <color rgb="FF1F4E78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sz val="10"/>
      <name val="Arial"/>
      <family val="0"/>
      <charset val="1"/>
    </font>
    <font>
      <b val="true"/>
      <sz val="11"/>
      <name val="Arial"/>
      <family val="0"/>
      <charset val="1"/>
    </font>
    <font>
      <b val="true"/>
      <sz val="18"/>
      <color rgb="FF000000"/>
      <name val="Calibri"/>
      <family val="2"/>
    </font>
    <font>
      <sz val="10"/>
      <color rgb="FF000000"/>
      <name val="Calibri"/>
      <family val="2"/>
    </font>
    <font>
      <b val="true"/>
      <sz val="10"/>
      <color rgb="FF000000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theme="3" tint="0.7999"/>
        <bgColor rgb="FFD9D9D9"/>
      </patternFill>
    </fill>
    <fill>
      <patternFill patternType="solid">
        <fgColor rgb="FF1F4E78"/>
        <bgColor rgb="FF003366"/>
      </patternFill>
    </fill>
  </fills>
  <borders count="3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thin">
        <color rgb="FFB7B7B7"/>
      </left>
      <right style="thin">
        <color rgb="FFB7B7B7"/>
      </right>
      <top style="thin">
        <color rgb="FFB7B7B7"/>
      </top>
      <bottom style="thin">
        <color rgb="FFB7B7B7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3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5" fontId="0" fillId="0" borderId="1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0" fillId="0" borderId="2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6" fontId="0" fillId="0" borderId="2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7" fontId="0" fillId="0" borderId="2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8" fontId="0" fillId="0" borderId="2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6" fontId="0" fillId="0" borderId="1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7" fillId="3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8" fillId="0" borderId="2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8" fillId="0" borderId="2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8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7" fillId="3" borderId="2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9" fontId="8" fillId="0" borderId="2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0" fontId="7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7B7B7"/>
      <rgbColor rgb="FF8B8B8B"/>
      <rgbColor rgb="FF9999FF"/>
      <rgbColor rgb="FF993366"/>
      <rgbColor rgb="FFFFFFCC"/>
      <rgbColor rgb="FFCCFFFF"/>
      <rgbColor rgb="FF660066"/>
      <rgbColor rgb="FFFF8080"/>
      <rgbColor rgb="FF0066CC"/>
      <rgbColor rgb="FFD6DCE5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D9D9D9"/>
      <rgbColor rgb="FFFFFF99"/>
      <rgbColor rgb="FF99CCFF"/>
      <rgbColor rgb="FFFF99CC"/>
      <rgbColor rgb="FFCC99FF"/>
      <rgbColor rgb="FFFFCC99"/>
      <rgbColor rgb="FF4472C4"/>
      <rgbColor rgb="FF33CCCC"/>
      <rgbColor rgb="FF99CC00"/>
      <rgbColor rgb="FFFFCC00"/>
      <rgbColor rgb="FFFF9900"/>
      <rgbColor rgb="FFED7D31"/>
      <rgbColor rgb="FF666699"/>
      <rgbColor rgb="FFA5A5A5"/>
      <rgbColor rgb="FF003366"/>
      <rgbColor rgb="FF339966"/>
      <rgbColor rgb="FF003300"/>
      <rgbColor rgb="FF333300"/>
      <rgbColor rgb="FF993300"/>
      <rgbColor rgb="FF993366"/>
      <rgbColor rgb="FF1F4E78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Valor FOB por País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'5. Tablas Dinamicas'!C5</c:f>
              <c:strCache>
                <c:ptCount val="1"/>
                <c:pt idx="0">
                  <c:v>Valor FOB (Suma)</c:v>
                </c:pt>
              </c:strCache>
            </c:strRef>
          </c:tx>
          <c:spPr>
            <a:solidFill>
              <a:srgbClr val="4472c4"/>
            </a:solidFill>
            <a:ln w="0">
              <a:noFill/>
            </a:ln>
          </c:spPr>
          <c:invertIfNegative val="0"/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'5. Tablas Dinamicas'!$B$6:$B$11</c:f>
              <c:strCache>
                <c:ptCount val="6"/>
                <c:pt idx="0">
                  <c:v>EE.UU.</c:v>
                </c:pt>
                <c:pt idx="1">
                  <c:v>México</c:v>
                </c:pt>
                <c:pt idx="2">
                  <c:v>Guatemala</c:v>
                </c:pt>
                <c:pt idx="3">
                  <c:v>Costa Rica</c:v>
                </c:pt>
                <c:pt idx="4">
                  <c:v>El Salvador</c:v>
                </c:pt>
                <c:pt idx="5">
                  <c:v>España</c:v>
                </c:pt>
              </c:strCache>
            </c:strRef>
          </c:cat>
          <c:val>
            <c:numRef>
              <c:f>'5. Tablas Dinamicas'!$C$6:$C$11</c:f>
              <c:numCache>
                <c:formatCode>\$#,##0</c:formatCode>
                <c:ptCount val="6"/>
                <c:pt idx="0">
                  <c:v>168745</c:v>
                </c:pt>
                <c:pt idx="1">
                  <c:v>120313</c:v>
                </c:pt>
                <c:pt idx="2">
                  <c:v>119335</c:v>
                </c:pt>
                <c:pt idx="3">
                  <c:v>113544</c:v>
                </c:pt>
                <c:pt idx="4">
                  <c:v>0</c:v>
                </c:pt>
                <c:pt idx="5">
                  <c:v>136328</c:v>
                </c:pt>
              </c:numCache>
            </c:numRef>
          </c:val>
        </c:ser>
        <c:gapWidth val="150"/>
        <c:overlap val="0"/>
        <c:axId val="21777172"/>
        <c:axId val="14634191"/>
      </c:barChart>
      <c:catAx>
        <c:axId val="21777172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País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0"/>
        <c:majorTickMark val="none"/>
        <c:minorTickMark val="none"/>
        <c:tickLblPos val="nextTo"/>
        <c:spPr>
          <a:ln w="6480">
            <a:solidFill>
              <a:srgbClr val="8b8b8b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14634191"/>
        <c:crosses val="autoZero"/>
        <c:auto val="1"/>
        <c:lblAlgn val="ctr"/>
        <c:lblOffset val="100"/>
        <c:noMultiLvlLbl val="0"/>
      </c:catAx>
      <c:valAx>
        <c:axId val="14634191"/>
        <c:scaling>
          <c:orientation val="minMax"/>
        </c:scaling>
        <c:delete val="0"/>
        <c:axPos val="l"/>
        <c:majorGridlines>
          <c:spPr>
            <a:ln w="6480">
              <a:solidFill>
                <a:srgbClr val="8b8b8b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Valor FOB (US$)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\$#,##0" sourceLinked="0"/>
        <c:majorTickMark val="none"/>
        <c:minorTickMark val="none"/>
        <c:tickLblPos val="nextTo"/>
        <c:spPr>
          <a:ln w="6480">
            <a:solidFill>
              <a:srgbClr val="8b8b8b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21777172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Utilidad por Producto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'5. Tablas Dinamicas'!C15</c:f>
              <c:strCache>
                <c:ptCount val="1"/>
                <c:pt idx="0">
                  <c:v>Utilidad (Suma)</c:v>
                </c:pt>
              </c:strCache>
            </c:strRef>
          </c:tx>
          <c:spPr>
            <a:solidFill>
              <a:srgbClr val="4472c4"/>
            </a:solidFill>
            <a:ln w="0">
              <a:noFill/>
            </a:ln>
          </c:spPr>
          <c:invertIfNegative val="0"/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'5. Tablas Dinamicas'!$B$16:$B$20</c:f>
              <c:strCache>
                <c:ptCount val="5"/>
                <c:pt idx="0">
                  <c:v>Café especial</c:v>
                </c:pt>
                <c:pt idx="1">
                  <c:v>Cacao en grano</c:v>
                </c:pt>
                <c:pt idx="2">
                  <c:v>Miel natural</c:v>
                </c:pt>
                <c:pt idx="3">
                  <c:v>Maní procesado</c:v>
                </c:pt>
                <c:pt idx="4">
                  <c:v>Aceite de ajonjolí</c:v>
                </c:pt>
              </c:strCache>
            </c:strRef>
          </c:cat>
          <c:val>
            <c:numRef>
              <c:f>'5. Tablas Dinamicas'!$C$16:$C$20</c:f>
              <c:numCache>
                <c:formatCode>\$#,##0</c:formatCode>
                <c:ptCount val="5"/>
                <c:pt idx="0">
                  <c:v>62832</c:v>
                </c:pt>
                <c:pt idx="1">
                  <c:v>36800</c:v>
                </c:pt>
                <c:pt idx="2">
                  <c:v>38688</c:v>
                </c:pt>
                <c:pt idx="3">
                  <c:v>33534</c:v>
                </c:pt>
                <c:pt idx="4">
                  <c:v>42218</c:v>
                </c:pt>
              </c:numCache>
            </c:numRef>
          </c:val>
        </c:ser>
        <c:gapWidth val="150"/>
        <c:overlap val="0"/>
        <c:axId val="96670414"/>
        <c:axId val="66193539"/>
      </c:barChart>
      <c:catAx>
        <c:axId val="96670414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Producto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0"/>
        <c:majorTickMark val="none"/>
        <c:minorTickMark val="none"/>
        <c:tickLblPos val="nextTo"/>
        <c:spPr>
          <a:ln w="6480">
            <a:solidFill>
              <a:srgbClr val="8b8b8b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66193539"/>
        <c:crosses val="autoZero"/>
        <c:auto val="1"/>
        <c:lblAlgn val="ctr"/>
        <c:lblOffset val="100"/>
        <c:noMultiLvlLbl val="0"/>
      </c:catAx>
      <c:valAx>
        <c:axId val="66193539"/>
        <c:scaling>
          <c:orientation val="minMax"/>
        </c:scaling>
        <c:delete val="0"/>
        <c:axPos val="l"/>
        <c:majorGridlines>
          <c:spPr>
            <a:ln w="6480">
              <a:solidFill>
                <a:srgbClr val="8b8b8b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Utilidad (US$)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\$#,##0" sourceLinked="0"/>
        <c:majorTickMark val="none"/>
        <c:minorTickMark val="none"/>
        <c:tickLblPos val="nextTo"/>
        <c:spPr>
          <a:ln w="6480">
            <a:solidFill>
              <a:srgbClr val="8b8b8b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96670414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Valor FOB por Región (Participación %)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pieChart>
        <c:varyColors val="1"/>
        <c:ser>
          <c:idx val="0"/>
          <c:order val="0"/>
          <c:tx>
            <c:strRef>
              <c:f>'5. Tablas Dinamicas'!C24</c:f>
              <c:strCache>
                <c:ptCount val="1"/>
                <c:pt idx="0">
                  <c:v>Valor FOB (Suma)</c:v>
                </c:pt>
              </c:strCache>
            </c:strRef>
          </c:tx>
          <c:spPr>
            <a:solidFill>
              <a:srgbClr val="4472c4"/>
            </a:solidFill>
            <a:ln w="0">
              <a:noFill/>
            </a:ln>
          </c:spPr>
          <c:explosion val="0"/>
          <c:dPt>
            <c:idx val="0"/>
            <c:spPr>
              <a:solidFill>
                <a:srgbClr val="4472c4"/>
              </a:solidFill>
              <a:ln w="0">
                <a:noFill/>
              </a:ln>
            </c:spPr>
          </c:dPt>
          <c:dPt>
            <c:idx val="1"/>
            <c:spPr>
              <a:solidFill>
                <a:srgbClr val="ed7d31"/>
              </a:solidFill>
              <a:ln w="0">
                <a:noFill/>
              </a:ln>
            </c:spPr>
          </c:dPt>
          <c:dPt>
            <c:idx val="2"/>
            <c:spPr>
              <a:solidFill>
                <a:srgbClr val="a5a5a5"/>
              </a:solidFill>
              <a:ln w="0">
                <a:noFill/>
              </a:ln>
            </c:spPr>
          </c:dPt>
          <c:dLbls>
            <c:dLbl>
              <c:idx val="0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Arial"/>
                    </a:defRPr>
                  </a:pPr>
                </a:p>
              </c:txPr>
              <c:dLblPos val="bestFit"/>
              <c:showLegendKey val="0"/>
              <c:showVal val="0"/>
              <c:showCatName val="0"/>
              <c:showSerName val="0"/>
              <c:showPercent val="0"/>
              <c:separator>; </c:separator>
            </c:dLbl>
            <c:dLbl>
              <c:idx val="1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Arial"/>
                    </a:defRPr>
                  </a:pPr>
                </a:p>
              </c:txPr>
              <c:dLblPos val="bestFit"/>
              <c:showLegendKey val="0"/>
              <c:showVal val="0"/>
              <c:showCatName val="0"/>
              <c:showSerName val="0"/>
              <c:showPercent val="0"/>
              <c:separator>; </c:separator>
            </c:dLbl>
            <c:dLbl>
              <c:idx val="2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Arial"/>
                    </a:defRPr>
                  </a:pPr>
                </a:p>
              </c:txPr>
              <c:dLblPos val="bestFit"/>
              <c:showLegendKey val="0"/>
              <c:showVal val="0"/>
              <c:showCatName val="0"/>
              <c:showSerName val="0"/>
              <c:showPercent val="0"/>
              <c:separator>; </c:separator>
            </c:dLbl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bestFit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</c:dLbls>
          <c:cat>
            <c:strRef>
              <c:f>'5. Tablas Dinamicas'!$B$25:$B$27</c:f>
              <c:strCache>
                <c:ptCount val="3"/>
                <c:pt idx="0">
                  <c:v>Norteamérica</c:v>
                </c:pt>
                <c:pt idx="1">
                  <c:v>Centroamérica</c:v>
                </c:pt>
                <c:pt idx="2">
                  <c:v>Europa</c:v>
                </c:pt>
              </c:strCache>
            </c:strRef>
          </c:cat>
          <c:val>
            <c:numRef>
              <c:f>'5. Tablas Dinamicas'!$C$25:$C$27</c:f>
              <c:numCache>
                <c:formatCode>\$#,##0</c:formatCode>
                <c:ptCount val="3"/>
                <c:pt idx="0">
                  <c:v>289058</c:v>
                </c:pt>
                <c:pt idx="1">
                  <c:v>232879</c:v>
                </c:pt>
                <c:pt idx="2">
                  <c:v>136328</c:v>
                </c:pt>
              </c:numCache>
            </c:numRef>
          </c:val>
        </c:ser>
        <c:firstSliceAng val="0"/>
      </c:pieChart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Relationship Id="rId3" Type="http://schemas.openxmlformats.org/officeDocument/2006/relationships/chart" Target="../charts/chart3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</xdr:col>
      <xdr:colOff>0</xdr:colOff>
      <xdr:row>2</xdr:row>
      <xdr:rowOff>176040</xdr:rowOff>
    </xdr:from>
    <xdr:to>
      <xdr:col>10</xdr:col>
      <xdr:colOff>254880</xdr:colOff>
      <xdr:row>19</xdr:row>
      <xdr:rowOff>175680</xdr:rowOff>
    </xdr:to>
    <xdr:graphicFrame>
      <xdr:nvGraphicFramePr>
        <xdr:cNvPr id="0" name="Chart 1"/>
        <xdr:cNvGraphicFramePr/>
      </xdr:nvGraphicFramePr>
      <xdr:xfrm>
        <a:off x="611640" y="566640"/>
        <a:ext cx="5758200" cy="32382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1</xdr:col>
      <xdr:colOff>0</xdr:colOff>
      <xdr:row>20</xdr:row>
      <xdr:rowOff>176040</xdr:rowOff>
    </xdr:from>
    <xdr:to>
      <xdr:col>10</xdr:col>
      <xdr:colOff>254880</xdr:colOff>
      <xdr:row>37</xdr:row>
      <xdr:rowOff>175680</xdr:rowOff>
    </xdr:to>
    <xdr:graphicFrame>
      <xdr:nvGraphicFramePr>
        <xdr:cNvPr id="1" name="Chart 2"/>
        <xdr:cNvGraphicFramePr/>
      </xdr:nvGraphicFramePr>
      <xdr:xfrm>
        <a:off x="611640" y="3995640"/>
        <a:ext cx="5758200" cy="32382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1</xdr:col>
      <xdr:colOff>0</xdr:colOff>
      <xdr:row>38</xdr:row>
      <xdr:rowOff>176040</xdr:rowOff>
    </xdr:from>
    <xdr:to>
      <xdr:col>10</xdr:col>
      <xdr:colOff>254880</xdr:colOff>
      <xdr:row>55</xdr:row>
      <xdr:rowOff>175680</xdr:rowOff>
    </xdr:to>
    <xdr:graphicFrame>
      <xdr:nvGraphicFramePr>
        <xdr:cNvPr id="2" name="Chart 3"/>
        <xdr:cNvGraphicFramePr/>
      </xdr:nvGraphicFramePr>
      <xdr:xfrm>
        <a:off x="611640" y="7424640"/>
        <a:ext cx="5758200" cy="32382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Tema de Offic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_rels/sheet6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1:V10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1" ySplit="3" topLeftCell="B4" activePane="bottomRight" state="frozen"/>
      <selection pane="topLeft" activeCell="A1" activeCellId="0" sqref="A1"/>
      <selection pane="topRight" activeCell="B1" activeCellId="0" sqref="B1"/>
      <selection pane="bottomLeft" activeCell="A4" activeCellId="0" sqref="A4"/>
      <selection pane="bottomRight" activeCell="B3" activeCellId="0" sqref="B3"/>
    </sheetView>
  </sheetViews>
  <sheetFormatPr defaultColWidth="10.6796875" defaultRowHeight="14.25" zeroHeight="false" outlineLevelRow="0" outlineLevelCol="0"/>
  <cols>
    <col collapsed="false" customWidth="true" hidden="false" outlineLevel="0" max="2" min="2" style="1" width="12.67"/>
    <col collapsed="false" customWidth="true" hidden="false" outlineLevel="0" max="3" min="3" style="2" width="11.77"/>
    <col collapsed="false" customWidth="true" hidden="false" outlineLevel="0" max="4" min="4" style="1" width="16.44"/>
    <col collapsed="false" customWidth="true" hidden="false" outlineLevel="0" max="5" min="5" style="1" width="16"/>
    <col collapsed="false" customWidth="true" hidden="false" outlineLevel="0" max="6" min="6" style="1" width="11.67"/>
    <col collapsed="false" customWidth="true" hidden="false" outlineLevel="0" max="9" min="9" style="1" width="13"/>
    <col collapsed="false" customWidth="true" hidden="false" outlineLevel="0" max="10" min="10" style="1" width="10.78"/>
    <col collapsed="false" customWidth="true" hidden="false" outlineLevel="0" max="11" min="11" style="1" width="16"/>
    <col collapsed="false" customWidth="true" hidden="false" outlineLevel="0" max="12" min="12" style="1" width="13"/>
    <col collapsed="false" customWidth="true" hidden="false" outlineLevel="0" max="13" min="13" style="1" width="14"/>
    <col collapsed="false" customWidth="true" hidden="false" outlineLevel="0" max="14" min="14" style="1" width="10"/>
    <col collapsed="false" customWidth="true" hidden="false" outlineLevel="0" max="15" min="15" style="1" width="16"/>
    <col collapsed="false" customWidth="true" hidden="false" outlineLevel="0" max="18" min="16" style="1" width="13"/>
    <col collapsed="false" customWidth="true" hidden="false" outlineLevel="0" max="19" min="19" style="1" width="10"/>
    <col collapsed="false" customWidth="true" hidden="false" outlineLevel="0" max="20" min="20" style="1" width="14"/>
    <col collapsed="false" customWidth="true" hidden="false" outlineLevel="0" max="21" min="21" style="1" width="18"/>
    <col collapsed="false" customWidth="true" hidden="false" outlineLevel="0" max="22" min="22" style="1" width="16"/>
  </cols>
  <sheetData>
    <row r="1" customFormat="false" ht="14.25" hidden="false" customHeight="true" outlineLevel="0" collapsed="false">
      <c r="E1" s="2"/>
    </row>
    <row r="3" customFormat="false" ht="23.25" hidden="false" customHeight="true" outlineLevel="0" collapsed="false">
      <c r="B3" s="3" t="s">
        <v>0</v>
      </c>
      <c r="C3" s="3" t="s">
        <v>1</v>
      </c>
      <c r="D3" s="3" t="s">
        <v>2</v>
      </c>
      <c r="E3" s="3" t="s">
        <v>3</v>
      </c>
      <c r="F3" s="3" t="s">
        <v>4</v>
      </c>
      <c r="G3" s="3" t="s">
        <v>5</v>
      </c>
      <c r="H3" s="3" t="s">
        <v>6</v>
      </c>
      <c r="I3" s="3" t="s">
        <v>7</v>
      </c>
      <c r="J3" s="3" t="s">
        <v>8</v>
      </c>
      <c r="K3" s="4" t="s">
        <v>9</v>
      </c>
      <c r="L3" s="4" t="s">
        <v>10</v>
      </c>
      <c r="M3" s="4" t="s">
        <v>11</v>
      </c>
      <c r="N3" s="4" t="s">
        <v>12</v>
      </c>
      <c r="O3" s="4" t="s">
        <v>13</v>
      </c>
      <c r="P3" s="4" t="s">
        <v>14</v>
      </c>
      <c r="Q3" s="4" t="s">
        <v>15</v>
      </c>
      <c r="R3" s="4" t="s">
        <v>16</v>
      </c>
      <c r="S3" s="4" t="s">
        <v>17</v>
      </c>
      <c r="T3" s="4" t="s">
        <v>18</v>
      </c>
      <c r="U3" s="4" t="s">
        <v>19</v>
      </c>
      <c r="V3" s="4" t="s">
        <v>20</v>
      </c>
    </row>
    <row r="4" customFormat="false" ht="14.25" hidden="false" customHeight="true" outlineLevel="0" collapsed="false">
      <c r="B4" s="5" t="s">
        <v>21</v>
      </c>
      <c r="C4" s="6" t="n">
        <v>46027</v>
      </c>
      <c r="D4" s="5" t="s">
        <v>22</v>
      </c>
      <c r="E4" s="7" t="s">
        <v>23</v>
      </c>
      <c r="F4" s="5" t="s">
        <v>24</v>
      </c>
      <c r="G4" s="5" t="n">
        <v>850</v>
      </c>
      <c r="H4" s="5" t="n">
        <v>4.8</v>
      </c>
      <c r="I4" s="5" t="n">
        <v>3.2</v>
      </c>
      <c r="J4" s="8" t="s">
        <v>25</v>
      </c>
      <c r="K4" s="9" t="str">
        <f aca="false">VLOOKUP(E4,'2. Productos'!$C$4:$F$8,2,FALSE())</f>
        <v>Miel natural</v>
      </c>
      <c r="L4" s="9" t="str">
        <f aca="false">VLOOKUP(E4,'2. Productos'!$C$4:$F$8,3,FALSE())</f>
        <v>Apícola</v>
      </c>
      <c r="M4" s="9" t="str">
        <f aca="false">VLOOKUP(F4,'3. Mercados'!$C$4:$F$9,2,FALSE())</f>
        <v>Centroamérica</v>
      </c>
      <c r="N4" s="10" t="n">
        <f aca="false">VLOOKUP(F4,'3. Mercados'!$C$4:$F$9,3,FALSE())</f>
        <v>0.03</v>
      </c>
      <c r="O4" s="9" t="str">
        <f aca="false">VLOOKUP(F4,'3. Mercados'!$C$4:$F$9,4,FALSE())</f>
        <v>Estratégico</v>
      </c>
      <c r="P4" s="11" t="n">
        <f aca="false">G4*H4</f>
        <v>4080</v>
      </c>
      <c r="Q4" s="11" t="n">
        <f aca="false">G4*I4</f>
        <v>2720</v>
      </c>
      <c r="R4" s="11" t="n">
        <f aca="false">P4-Q4</f>
        <v>1360</v>
      </c>
      <c r="S4" s="12" t="n">
        <f aca="false">R4/P4</f>
        <v>0.333333333333333</v>
      </c>
      <c r="T4" s="9" t="str">
        <f aca="false">IF(S4&gt;=0.3,"Alta",IF(S4&gt;=0.15,"Media","Baja"))</f>
        <v>Alta</v>
      </c>
      <c r="U4" s="9" t="str">
        <f aca="false">IF(P4&gt;=10000,"Grande",IF(P4&gt;=5000,"Mediana","Pequeña"))</f>
        <v>Pequeña</v>
      </c>
      <c r="V4" s="9" t="str">
        <f aca="false">IF(AND(O4="Estratégico",S4&gt;=0.3),"Alta",IF(AND(O4="Estratégico",S4&lt;0.3),"Media",IF(AND(O4="Potencial",S4&gt;=0.3),"Media","Baja")))</f>
        <v>Alta</v>
      </c>
    </row>
    <row r="5" customFormat="false" ht="14.25" hidden="false" customHeight="true" outlineLevel="0" collapsed="false">
      <c r="B5" s="5" t="s">
        <v>26</v>
      </c>
      <c r="C5" s="6" t="n">
        <v>46034</v>
      </c>
      <c r="D5" s="5" t="s">
        <v>27</v>
      </c>
      <c r="E5" s="7" t="s">
        <v>28</v>
      </c>
      <c r="F5" s="5" t="s">
        <v>29</v>
      </c>
      <c r="G5" s="5" t="n">
        <v>1200</v>
      </c>
      <c r="H5" s="5" t="n">
        <v>6.5</v>
      </c>
      <c r="I5" s="5" t="n">
        <v>4.1</v>
      </c>
      <c r="J5" s="8" t="s">
        <v>30</v>
      </c>
      <c r="K5" s="9" t="str">
        <f aca="false">VLOOKUP(E5,'2. Productos'!$C$4:$F$8,2,FALSE())</f>
        <v>Café especial</v>
      </c>
      <c r="L5" s="9" t="str">
        <f aca="false">VLOOKUP(E5,'2. Productos'!$C$4:$F$8,3,FALSE())</f>
        <v>Café</v>
      </c>
      <c r="M5" s="9" t="str">
        <f aca="false">VLOOKUP(F5,'3. Mercados'!$C$4:$F$9,2,FALSE())</f>
        <v>Norteamérica</v>
      </c>
      <c r="N5" s="10" t="n">
        <f aca="false">VLOOKUP(F5,'3. Mercados'!$C$4:$F$9,3,FALSE())</f>
        <v>0.05</v>
      </c>
      <c r="O5" s="9" t="str">
        <f aca="false">VLOOKUP(F5,'3. Mercados'!$C$4:$F$9,4,FALSE())</f>
        <v>Estratégico</v>
      </c>
      <c r="P5" s="11" t="n">
        <f aca="false">G5*H5</f>
        <v>7800</v>
      </c>
      <c r="Q5" s="11" t="n">
        <f aca="false">G5*I5</f>
        <v>4920</v>
      </c>
      <c r="R5" s="11" t="n">
        <f aca="false">P5-Q5</f>
        <v>2880</v>
      </c>
      <c r="S5" s="12" t="n">
        <f aca="false">R5/P5</f>
        <v>0.369230769230769</v>
      </c>
      <c r="T5" s="9" t="str">
        <f aca="false">IF(S5&gt;=0.3,"Alta",IF(S5&gt;=0.15,"Media","Baja"))</f>
        <v>Alta</v>
      </c>
      <c r="U5" s="9" t="str">
        <f aca="false">IF(P5&gt;=10000,"Grande",IF(P5&gt;=5000,"Mediana","Pequeña"))</f>
        <v>Mediana</v>
      </c>
      <c r="V5" s="9" t="str">
        <f aca="false">IF(AND(O5="Estratégico",S5&gt;=0.3),"Alta",IF(AND(O5="Estratégico",S5&lt;0.3),"Media",IF(AND(O5="Potencial",S5&gt;=0.3),"Media","Baja")))</f>
        <v>Alta</v>
      </c>
    </row>
    <row r="6" customFormat="false" ht="14.25" hidden="false" customHeight="true" outlineLevel="0" collapsed="false">
      <c r="B6" s="5" t="s">
        <v>31</v>
      </c>
      <c r="C6" s="6" t="n">
        <v>46042</v>
      </c>
      <c r="D6" s="5" t="s">
        <v>32</v>
      </c>
      <c r="E6" s="7" t="s">
        <v>33</v>
      </c>
      <c r="F6" s="5" t="s">
        <v>34</v>
      </c>
      <c r="G6" s="5" t="n">
        <v>650</v>
      </c>
      <c r="H6" s="5" t="n">
        <v>8.2</v>
      </c>
      <c r="I6" s="5" t="n">
        <v>5.9</v>
      </c>
      <c r="J6" s="8" t="s">
        <v>25</v>
      </c>
      <c r="K6" s="9" t="str">
        <f aca="false">VLOOKUP(E6,'2. Productos'!$C$4:$F$8,2,FALSE())</f>
        <v>Maní procesado</v>
      </c>
      <c r="L6" s="9" t="str">
        <f aca="false">VLOOKUP(E6,'2. Productos'!$C$4:$F$8,3,FALSE())</f>
        <v>Semillas</v>
      </c>
      <c r="M6" s="9" t="str">
        <f aca="false">VLOOKUP(F6,'3. Mercados'!$C$4:$F$9,2,FALSE())</f>
        <v>Centroamérica</v>
      </c>
      <c r="N6" s="10" t="n">
        <f aca="false">VLOOKUP(F6,'3. Mercados'!$C$4:$F$9,3,FALSE())</f>
        <v>0.02</v>
      </c>
      <c r="O6" s="9" t="str">
        <f aca="false">VLOOKUP(F6,'3. Mercados'!$C$4:$F$9,4,FALSE())</f>
        <v>Estratégico</v>
      </c>
      <c r="P6" s="11" t="n">
        <f aca="false">G6*H6</f>
        <v>5330</v>
      </c>
      <c r="Q6" s="11" t="n">
        <f aca="false">G6*I6</f>
        <v>3835</v>
      </c>
      <c r="R6" s="11" t="n">
        <f aca="false">P6-Q6</f>
        <v>1495</v>
      </c>
      <c r="S6" s="12" t="n">
        <f aca="false">R6/P6</f>
        <v>0.280487804878049</v>
      </c>
      <c r="T6" s="9" t="str">
        <f aca="false">IF(S6&gt;=0.3,"Alta",IF(S6&gt;=0.15,"Media","Baja"))</f>
        <v>Media</v>
      </c>
      <c r="U6" s="9" t="str">
        <f aca="false">IF(P6&gt;=10000,"Grande",IF(P6&gt;=5000,"Mediana","Pequeña"))</f>
        <v>Mediana</v>
      </c>
      <c r="V6" s="9" t="str">
        <f aca="false">IF(AND(O6="Estratégico",S6&gt;=0.3),"Alta",IF(AND(O6="Estratégico",S6&lt;0.3),"Media",IF(AND(O6="Potencial",S6&gt;=0.3),"Media","Baja")))</f>
        <v>Media</v>
      </c>
    </row>
    <row r="7" customFormat="false" ht="14.25" hidden="false" customHeight="true" outlineLevel="0" collapsed="false">
      <c r="B7" s="5" t="s">
        <v>35</v>
      </c>
      <c r="C7" s="6" t="n">
        <v>46056</v>
      </c>
      <c r="D7" s="5" t="s">
        <v>36</v>
      </c>
      <c r="E7" s="7" t="s">
        <v>37</v>
      </c>
      <c r="F7" s="5" t="s">
        <v>38</v>
      </c>
      <c r="G7" s="5" t="n">
        <v>950</v>
      </c>
      <c r="H7" s="5" t="n">
        <v>7.1</v>
      </c>
      <c r="I7" s="5" t="n">
        <v>4.8</v>
      </c>
      <c r="J7" s="8" t="s">
        <v>39</v>
      </c>
      <c r="K7" s="9" t="str">
        <f aca="false">VLOOKUP(E7,'2. Productos'!$C$4:$F$8,2,FALSE())</f>
        <v>Cacao en grano</v>
      </c>
      <c r="L7" s="9" t="str">
        <f aca="false">VLOOKUP(E7,'2. Productos'!$C$4:$F$8,3,FALSE())</f>
        <v>Cacao</v>
      </c>
      <c r="M7" s="9" t="str">
        <f aca="false">VLOOKUP(F7,'3. Mercados'!$C$4:$F$9,2,FALSE())</f>
        <v>Europa</v>
      </c>
      <c r="N7" s="10" t="n">
        <f aca="false">VLOOKUP(F7,'3. Mercados'!$C$4:$F$9,3,FALSE())</f>
        <v>0.1</v>
      </c>
      <c r="O7" s="9" t="str">
        <f aca="false">VLOOKUP(F7,'3. Mercados'!$C$4:$F$9,4,FALSE())</f>
        <v>Potencial</v>
      </c>
      <c r="P7" s="11" t="n">
        <f aca="false">G7*H7</f>
        <v>6745</v>
      </c>
      <c r="Q7" s="11" t="n">
        <f aca="false">G7*I7</f>
        <v>4560</v>
      </c>
      <c r="R7" s="11" t="n">
        <f aca="false">P7-Q7</f>
        <v>2185</v>
      </c>
      <c r="S7" s="12" t="n">
        <f aca="false">R7/P7</f>
        <v>0.323943661971831</v>
      </c>
      <c r="T7" s="9" t="str">
        <f aca="false">IF(S7&gt;=0.3,"Alta",IF(S7&gt;=0.15,"Media","Baja"))</f>
        <v>Alta</v>
      </c>
      <c r="U7" s="9" t="str">
        <f aca="false">IF(P7&gt;=10000,"Grande",IF(P7&gt;=5000,"Mediana","Pequeña"))</f>
        <v>Mediana</v>
      </c>
      <c r="V7" s="9" t="str">
        <f aca="false">IF(AND(O7="Estratégico",S7&gt;=0.3),"Alta",IF(AND(O7="Estratégico",S7&lt;0.3),"Media",IF(AND(O7="Potencial",S7&gt;=0.3),"Media","Baja")))</f>
        <v>Media</v>
      </c>
    </row>
    <row r="8" customFormat="false" ht="14.25" hidden="false" customHeight="true" outlineLevel="0" collapsed="false">
      <c r="B8" s="5" t="s">
        <v>40</v>
      </c>
      <c r="C8" s="6" t="n">
        <v>46068</v>
      </c>
      <c r="D8" s="5" t="s">
        <v>41</v>
      </c>
      <c r="E8" s="7" t="s">
        <v>42</v>
      </c>
      <c r="F8" s="5" t="s">
        <v>43</v>
      </c>
      <c r="G8" s="5" t="n">
        <v>500</v>
      </c>
      <c r="H8" s="5" t="n">
        <v>12.5</v>
      </c>
      <c r="I8" s="5" t="n">
        <v>8.7</v>
      </c>
      <c r="J8" s="8" t="s">
        <v>30</v>
      </c>
      <c r="K8" s="9" t="str">
        <f aca="false">VLOOKUP(E8,'2. Productos'!$C$4:$F$8,2,FALSE())</f>
        <v>Aceite de ajonjolí</v>
      </c>
      <c r="L8" s="9" t="str">
        <f aca="false">VLOOKUP(E8,'2. Productos'!$C$4:$F$8,3,FALSE())</f>
        <v>Aceites</v>
      </c>
      <c r="M8" s="9" t="str">
        <f aca="false">VLOOKUP(F8,'3. Mercados'!$C$4:$F$9,2,FALSE())</f>
        <v>Norteamérica</v>
      </c>
      <c r="N8" s="10" t="n">
        <f aca="false">VLOOKUP(F8,'3. Mercados'!$C$4:$F$9,3,FALSE())</f>
        <v>0.08</v>
      </c>
      <c r="O8" s="9" t="str">
        <f aca="false">VLOOKUP(F8,'3. Mercados'!$C$4:$F$9,4,FALSE())</f>
        <v>Potencial</v>
      </c>
      <c r="P8" s="11" t="n">
        <f aca="false">G8*H8</f>
        <v>6250</v>
      </c>
      <c r="Q8" s="11" t="n">
        <f aca="false">G8*I8</f>
        <v>4350</v>
      </c>
      <c r="R8" s="11" t="n">
        <f aca="false">P8-Q8</f>
        <v>1900</v>
      </c>
      <c r="S8" s="12" t="n">
        <f aca="false">R8/P8</f>
        <v>0.304</v>
      </c>
      <c r="T8" s="9" t="str">
        <f aca="false">IF(S8&gt;=0.3,"Alta",IF(S8&gt;=0.15,"Media","Baja"))</f>
        <v>Alta</v>
      </c>
      <c r="U8" s="9" t="str">
        <f aca="false">IF(P8&gt;=10000,"Grande",IF(P8&gt;=5000,"Mediana","Pequeña"))</f>
        <v>Mediana</v>
      </c>
      <c r="V8" s="9" t="str">
        <f aca="false">IF(AND(O8="Estratégico",S8&gt;=0.3),"Alta",IF(AND(O8="Estratégico",S8&lt;0.3),"Media",IF(AND(O8="Potencial",S8&gt;=0.3),"Media","Baja")))</f>
        <v>Media</v>
      </c>
    </row>
    <row r="9" customFormat="false" ht="14.25" hidden="false" customHeight="true" outlineLevel="0" collapsed="false">
      <c r="B9" s="5" t="s">
        <v>44</v>
      </c>
      <c r="C9" s="6" t="n">
        <v>46081</v>
      </c>
      <c r="D9" s="5" t="s">
        <v>27</v>
      </c>
      <c r="E9" s="7" t="s">
        <v>23</v>
      </c>
      <c r="F9" s="5" t="s">
        <v>29</v>
      </c>
      <c r="G9" s="5" t="n">
        <v>1400</v>
      </c>
      <c r="H9" s="5" t="n">
        <v>4.8</v>
      </c>
      <c r="I9" s="5" t="n">
        <v>3.2</v>
      </c>
      <c r="J9" s="8" t="s">
        <v>30</v>
      </c>
      <c r="K9" s="9" t="str">
        <f aca="false">VLOOKUP(E9,'2. Productos'!$C$4:$F$8,2,FALSE())</f>
        <v>Miel natural</v>
      </c>
      <c r="L9" s="9" t="str">
        <f aca="false">VLOOKUP(E9,'2. Productos'!$C$4:$F$8,3,FALSE())</f>
        <v>Apícola</v>
      </c>
      <c r="M9" s="9" t="str">
        <f aca="false">VLOOKUP(F9,'3. Mercados'!$C$4:$F$9,2,FALSE())</f>
        <v>Norteamérica</v>
      </c>
      <c r="N9" s="10" t="n">
        <f aca="false">VLOOKUP(F9,'3. Mercados'!$C$4:$F$9,3,FALSE())</f>
        <v>0.05</v>
      </c>
      <c r="O9" s="9" t="str">
        <f aca="false">VLOOKUP(F9,'3. Mercados'!$C$4:$F$9,4,FALSE())</f>
        <v>Estratégico</v>
      </c>
      <c r="P9" s="11" t="n">
        <f aca="false">G9*H9</f>
        <v>6720</v>
      </c>
      <c r="Q9" s="11" t="n">
        <f aca="false">G9*I9</f>
        <v>4480</v>
      </c>
      <c r="R9" s="11" t="n">
        <f aca="false">P9-Q9</f>
        <v>2240</v>
      </c>
      <c r="S9" s="12" t="n">
        <f aca="false">R9/P9</f>
        <v>0.333333333333333</v>
      </c>
      <c r="T9" s="9" t="str">
        <f aca="false">IF(S9&gt;=0.3,"Alta",IF(S9&gt;=0.15,"Media","Baja"))</f>
        <v>Alta</v>
      </c>
      <c r="U9" s="9" t="str">
        <f aca="false">IF(P9&gt;=10000,"Grande",IF(P9&gt;=5000,"Mediana","Pequeña"))</f>
        <v>Mediana</v>
      </c>
      <c r="V9" s="9" t="str">
        <f aca="false">IF(AND(O9="Estratégico",S9&gt;=0.3),"Alta",IF(AND(O9="Estratégico",S9&lt;0.3),"Media",IF(AND(O9="Potencial",S9&gt;=0.3),"Media","Baja")))</f>
        <v>Alta</v>
      </c>
    </row>
    <row r="10" customFormat="false" ht="14.25" hidden="false" customHeight="true" outlineLevel="0" collapsed="false">
      <c r="B10" s="5" t="s">
        <v>45</v>
      </c>
      <c r="C10" s="6" t="n">
        <v>46089</v>
      </c>
      <c r="D10" s="5" t="s">
        <v>32</v>
      </c>
      <c r="E10" s="7" t="s">
        <v>28</v>
      </c>
      <c r="F10" s="5" t="s">
        <v>34</v>
      </c>
      <c r="G10" s="5" t="n">
        <v>900</v>
      </c>
      <c r="H10" s="5" t="n">
        <v>6.5</v>
      </c>
      <c r="I10" s="5" t="n">
        <v>4.1</v>
      </c>
      <c r="J10" s="8" t="s">
        <v>25</v>
      </c>
      <c r="K10" s="9" t="str">
        <f aca="false">VLOOKUP(E10,'2. Productos'!$C$4:$F$8,2,FALSE())</f>
        <v>Café especial</v>
      </c>
      <c r="L10" s="9" t="str">
        <f aca="false">VLOOKUP(E10,'2. Productos'!$C$4:$F$8,3,FALSE())</f>
        <v>Café</v>
      </c>
      <c r="M10" s="9" t="str">
        <f aca="false">VLOOKUP(F10,'3. Mercados'!$C$4:$F$9,2,FALSE())</f>
        <v>Centroamérica</v>
      </c>
      <c r="N10" s="10" t="n">
        <f aca="false">VLOOKUP(F10,'3. Mercados'!$C$4:$F$9,3,FALSE())</f>
        <v>0.02</v>
      </c>
      <c r="O10" s="9" t="str">
        <f aca="false">VLOOKUP(F10,'3. Mercados'!$C$4:$F$9,4,FALSE())</f>
        <v>Estratégico</v>
      </c>
      <c r="P10" s="11" t="n">
        <f aca="false">G10*H10</f>
        <v>5850</v>
      </c>
      <c r="Q10" s="11" t="n">
        <f aca="false">G10*I10</f>
        <v>3690</v>
      </c>
      <c r="R10" s="11" t="n">
        <f aca="false">P10-Q10</f>
        <v>2160</v>
      </c>
      <c r="S10" s="12" t="n">
        <f aca="false">R10/P10</f>
        <v>0.369230769230769</v>
      </c>
      <c r="T10" s="9" t="str">
        <f aca="false">IF(S10&gt;=0.3,"Alta",IF(S10&gt;=0.15,"Media","Baja"))</f>
        <v>Alta</v>
      </c>
      <c r="U10" s="9" t="str">
        <f aca="false">IF(P10&gt;=10000,"Grande",IF(P10&gt;=5000,"Mediana","Pequeña"))</f>
        <v>Mediana</v>
      </c>
      <c r="V10" s="9" t="str">
        <f aca="false">IF(AND(O10="Estratégico",S10&gt;=0.3),"Alta",IF(AND(O10="Estratégico",S10&lt;0.3),"Media",IF(AND(O10="Potencial",S10&gt;=0.3),"Media","Baja")))</f>
        <v>Alta</v>
      </c>
    </row>
    <row r="11" customFormat="false" ht="14.25" hidden="false" customHeight="true" outlineLevel="0" collapsed="false">
      <c r="B11" s="5" t="s">
        <v>46</v>
      </c>
      <c r="C11" s="6" t="n">
        <v>46099</v>
      </c>
      <c r="D11" s="5" t="s">
        <v>22</v>
      </c>
      <c r="E11" s="7" t="s">
        <v>33</v>
      </c>
      <c r="F11" s="5" t="s">
        <v>24</v>
      </c>
      <c r="G11" s="5" t="n">
        <v>750</v>
      </c>
      <c r="H11" s="5" t="n">
        <v>8.2</v>
      </c>
      <c r="I11" s="5" t="n">
        <v>5.9</v>
      </c>
      <c r="J11" s="8" t="s">
        <v>30</v>
      </c>
      <c r="K11" s="9" t="str">
        <f aca="false">VLOOKUP(E11,'2. Productos'!$C$4:$F$8,2,FALSE())</f>
        <v>Maní procesado</v>
      </c>
      <c r="L11" s="9" t="str">
        <f aca="false">VLOOKUP(E11,'2. Productos'!$C$4:$F$8,3,FALSE())</f>
        <v>Semillas</v>
      </c>
      <c r="M11" s="9" t="str">
        <f aca="false">VLOOKUP(F11,'3. Mercados'!$C$4:$F$9,2,FALSE())</f>
        <v>Centroamérica</v>
      </c>
      <c r="N11" s="10" t="n">
        <f aca="false">VLOOKUP(F11,'3. Mercados'!$C$4:$F$9,3,FALSE())</f>
        <v>0.03</v>
      </c>
      <c r="O11" s="9" t="str">
        <f aca="false">VLOOKUP(F11,'3. Mercados'!$C$4:$F$9,4,FALSE())</f>
        <v>Estratégico</v>
      </c>
      <c r="P11" s="11" t="n">
        <f aca="false">G11*H11</f>
        <v>6150</v>
      </c>
      <c r="Q11" s="11" t="n">
        <f aca="false">G11*I11</f>
        <v>4425</v>
      </c>
      <c r="R11" s="11" t="n">
        <f aca="false">P11-Q11</f>
        <v>1725</v>
      </c>
      <c r="S11" s="12" t="n">
        <f aca="false">R11/P11</f>
        <v>0.280487804878049</v>
      </c>
      <c r="T11" s="9" t="str">
        <f aca="false">IF(S11&gt;=0.3,"Alta",IF(S11&gt;=0.15,"Media","Baja"))</f>
        <v>Media</v>
      </c>
      <c r="U11" s="9" t="str">
        <f aca="false">IF(P11&gt;=10000,"Grande",IF(P11&gt;=5000,"Mediana","Pequeña"))</f>
        <v>Mediana</v>
      </c>
      <c r="V11" s="9" t="str">
        <f aca="false">IF(AND(O11="Estratégico",S11&gt;=0.3),"Alta",IF(AND(O11="Estratégico",S11&lt;0.3),"Media",IF(AND(O11="Potencial",S11&gt;=0.3),"Media","Baja")))</f>
        <v>Media</v>
      </c>
    </row>
    <row r="12" customFormat="false" ht="14.25" hidden="false" customHeight="true" outlineLevel="0" collapsed="false">
      <c r="B12" s="5" t="s">
        <v>47</v>
      </c>
      <c r="C12" s="6" t="n">
        <v>46106</v>
      </c>
      <c r="D12" s="5" t="s">
        <v>36</v>
      </c>
      <c r="E12" s="7" t="s">
        <v>42</v>
      </c>
      <c r="F12" s="5" t="s">
        <v>38</v>
      </c>
      <c r="G12" s="5" t="n">
        <v>600</v>
      </c>
      <c r="H12" s="5" t="n">
        <v>12.5</v>
      </c>
      <c r="I12" s="5" t="n">
        <v>8.7</v>
      </c>
      <c r="J12" s="8" t="s">
        <v>25</v>
      </c>
      <c r="K12" s="9" t="str">
        <f aca="false">VLOOKUP(E12,'2. Productos'!$C$4:$F$8,2,FALSE())</f>
        <v>Aceite de ajonjolí</v>
      </c>
      <c r="L12" s="9" t="str">
        <f aca="false">VLOOKUP(E12,'2. Productos'!$C$4:$F$8,3,FALSE())</f>
        <v>Aceites</v>
      </c>
      <c r="M12" s="9" t="str">
        <f aca="false">VLOOKUP(F12,'3. Mercados'!$C$4:$F$9,2,FALSE())</f>
        <v>Europa</v>
      </c>
      <c r="N12" s="10" t="n">
        <f aca="false">VLOOKUP(F12,'3. Mercados'!$C$4:$F$9,3,FALSE())</f>
        <v>0.1</v>
      </c>
      <c r="O12" s="9" t="str">
        <f aca="false">VLOOKUP(F12,'3. Mercados'!$C$4:$F$9,4,FALSE())</f>
        <v>Potencial</v>
      </c>
      <c r="P12" s="11" t="n">
        <f aca="false">G12*H12</f>
        <v>7500</v>
      </c>
      <c r="Q12" s="11" t="n">
        <f aca="false">G12*I12</f>
        <v>5220</v>
      </c>
      <c r="R12" s="11" t="n">
        <f aca="false">P12-Q12</f>
        <v>2280</v>
      </c>
      <c r="S12" s="12" t="n">
        <f aca="false">R12/P12</f>
        <v>0.304</v>
      </c>
      <c r="T12" s="9" t="str">
        <f aca="false">IF(S12&gt;=0.3,"Alta",IF(S12&gt;=0.15,"Media","Baja"))</f>
        <v>Alta</v>
      </c>
      <c r="U12" s="9" t="str">
        <f aca="false">IF(P12&gt;=10000,"Grande",IF(P12&gt;=5000,"Mediana","Pequeña"))</f>
        <v>Mediana</v>
      </c>
      <c r="V12" s="9" t="str">
        <f aca="false">IF(AND(O12="Estratégico",S12&gt;=0.3),"Alta",IF(AND(O12="Estratégico",S12&lt;0.3),"Media",IF(AND(O12="Potencial",S12&gt;=0.3),"Media","Baja")))</f>
        <v>Media</v>
      </c>
    </row>
    <row r="13" customFormat="false" ht="14.25" hidden="false" customHeight="true" outlineLevel="0" collapsed="false">
      <c r="B13" s="5" t="s">
        <v>48</v>
      </c>
      <c r="C13" s="6" t="n">
        <v>46114</v>
      </c>
      <c r="D13" s="5" t="s">
        <v>41</v>
      </c>
      <c r="E13" s="7" t="s">
        <v>37</v>
      </c>
      <c r="F13" s="5" t="s">
        <v>43</v>
      </c>
      <c r="G13" s="5" t="n">
        <v>1100</v>
      </c>
      <c r="H13" s="5" t="n">
        <v>7.1</v>
      </c>
      <c r="I13" s="5" t="n">
        <v>4.8</v>
      </c>
      <c r="J13" s="8" t="s">
        <v>30</v>
      </c>
      <c r="K13" s="9" t="str">
        <f aca="false">VLOOKUP(E13,'2. Productos'!$C$4:$F$8,2,FALSE())</f>
        <v>Cacao en grano</v>
      </c>
      <c r="L13" s="9" t="str">
        <f aca="false">VLOOKUP(E13,'2. Productos'!$C$4:$F$8,3,FALSE())</f>
        <v>Cacao</v>
      </c>
      <c r="M13" s="9" t="str">
        <f aca="false">VLOOKUP(F13,'3. Mercados'!$C$4:$F$9,2,FALSE())</f>
        <v>Norteamérica</v>
      </c>
      <c r="N13" s="10" t="n">
        <f aca="false">VLOOKUP(F13,'3. Mercados'!$C$4:$F$9,3,FALSE())</f>
        <v>0.08</v>
      </c>
      <c r="O13" s="9" t="str">
        <f aca="false">VLOOKUP(F13,'3. Mercados'!$C$4:$F$9,4,FALSE())</f>
        <v>Potencial</v>
      </c>
      <c r="P13" s="11" t="n">
        <f aca="false">G13*H13</f>
        <v>7810</v>
      </c>
      <c r="Q13" s="11" t="n">
        <f aca="false">G13*I13</f>
        <v>5280</v>
      </c>
      <c r="R13" s="11" t="n">
        <f aca="false">P13-Q13</f>
        <v>2530</v>
      </c>
      <c r="S13" s="12" t="n">
        <f aca="false">R13/P13</f>
        <v>0.323943661971831</v>
      </c>
      <c r="T13" s="9" t="str">
        <f aca="false">IF(S13&gt;=0.3,"Alta",IF(S13&gt;=0.15,"Media","Baja"))</f>
        <v>Alta</v>
      </c>
      <c r="U13" s="9" t="str">
        <f aca="false">IF(P13&gt;=10000,"Grande",IF(P13&gt;=5000,"Mediana","Pequeña"))</f>
        <v>Mediana</v>
      </c>
      <c r="V13" s="9" t="str">
        <f aca="false">IF(AND(O13="Estratégico",S13&gt;=0.3),"Alta",IF(AND(O13="Estratégico",S13&lt;0.3),"Media",IF(AND(O13="Potencial",S13&gt;=0.3),"Media","Baja")))</f>
        <v>Media</v>
      </c>
    </row>
    <row r="14" customFormat="false" ht="14.25" hidden="false" customHeight="true" outlineLevel="0" collapsed="false">
      <c r="B14" s="5" t="s">
        <v>49</v>
      </c>
      <c r="C14" s="6" t="n">
        <v>46122</v>
      </c>
      <c r="D14" s="5" t="s">
        <v>27</v>
      </c>
      <c r="E14" s="7" t="s">
        <v>33</v>
      </c>
      <c r="F14" s="5" t="s">
        <v>29</v>
      </c>
      <c r="G14" s="5" t="n">
        <v>1300</v>
      </c>
      <c r="H14" s="5" t="n">
        <v>8.2</v>
      </c>
      <c r="I14" s="5" t="n">
        <v>5.9</v>
      </c>
      <c r="J14" s="8" t="s">
        <v>30</v>
      </c>
      <c r="K14" s="9" t="str">
        <f aca="false">VLOOKUP(E14,'2. Productos'!$C$4:$F$8,2,FALSE())</f>
        <v>Maní procesado</v>
      </c>
      <c r="L14" s="9" t="str">
        <f aca="false">VLOOKUP(E14,'2. Productos'!$C$4:$F$8,3,FALSE())</f>
        <v>Semillas</v>
      </c>
      <c r="M14" s="9" t="str">
        <f aca="false">VLOOKUP(F14,'3. Mercados'!$C$4:$F$9,2,FALSE())</f>
        <v>Norteamérica</v>
      </c>
      <c r="N14" s="10" t="n">
        <f aca="false">VLOOKUP(F14,'3. Mercados'!$C$4:$F$9,3,FALSE())</f>
        <v>0.05</v>
      </c>
      <c r="O14" s="9" t="str">
        <f aca="false">VLOOKUP(F14,'3. Mercados'!$C$4:$F$9,4,FALSE())</f>
        <v>Estratégico</v>
      </c>
      <c r="P14" s="11" t="n">
        <f aca="false">G14*H14</f>
        <v>10660</v>
      </c>
      <c r="Q14" s="11" t="n">
        <f aca="false">G14*I14</f>
        <v>7670</v>
      </c>
      <c r="R14" s="11" t="n">
        <f aca="false">P14-Q14</f>
        <v>2990</v>
      </c>
      <c r="S14" s="12" t="n">
        <f aca="false">R14/P14</f>
        <v>0.280487804878049</v>
      </c>
      <c r="T14" s="9" t="str">
        <f aca="false">IF(S14&gt;=0.3,"Alta",IF(S14&gt;=0.15,"Media","Baja"))</f>
        <v>Media</v>
      </c>
      <c r="U14" s="9" t="str">
        <f aca="false">IF(P14&gt;=10000,"Grande",IF(P14&gt;=5000,"Mediana","Pequeña"))</f>
        <v>Grande</v>
      </c>
      <c r="V14" s="9" t="str">
        <f aca="false">IF(AND(O14="Estratégico",S14&gt;=0.3),"Alta",IF(AND(O14="Estratégico",S14&lt;0.3),"Media",IF(AND(O14="Potencial",S14&gt;=0.3),"Media","Baja")))</f>
        <v>Media</v>
      </c>
    </row>
    <row r="15" customFormat="false" ht="14.25" hidden="false" customHeight="true" outlineLevel="0" collapsed="false">
      <c r="B15" s="5" t="s">
        <v>50</v>
      </c>
      <c r="C15" s="6" t="n">
        <v>46130</v>
      </c>
      <c r="D15" s="5" t="s">
        <v>22</v>
      </c>
      <c r="E15" s="7" t="s">
        <v>28</v>
      </c>
      <c r="F15" s="5" t="s">
        <v>24</v>
      </c>
      <c r="G15" s="5" t="n">
        <v>700</v>
      </c>
      <c r="H15" s="5" t="n">
        <v>6.5</v>
      </c>
      <c r="I15" s="5" t="n">
        <v>4.1</v>
      </c>
      <c r="J15" s="8" t="s">
        <v>39</v>
      </c>
      <c r="K15" s="9" t="str">
        <f aca="false">VLOOKUP(E15,'2. Productos'!$C$4:$F$8,2,FALSE())</f>
        <v>Café especial</v>
      </c>
      <c r="L15" s="9" t="str">
        <f aca="false">VLOOKUP(E15,'2. Productos'!$C$4:$F$8,3,FALSE())</f>
        <v>Café</v>
      </c>
      <c r="M15" s="9" t="str">
        <f aca="false">VLOOKUP(F15,'3. Mercados'!$C$4:$F$9,2,FALSE())</f>
        <v>Centroamérica</v>
      </c>
      <c r="N15" s="10" t="n">
        <f aca="false">VLOOKUP(F15,'3. Mercados'!$C$4:$F$9,3,FALSE())</f>
        <v>0.03</v>
      </c>
      <c r="O15" s="9" t="str">
        <f aca="false">VLOOKUP(F15,'3. Mercados'!$C$4:$F$9,4,FALSE())</f>
        <v>Estratégico</v>
      </c>
      <c r="P15" s="11" t="n">
        <f aca="false">G15*H15</f>
        <v>4550</v>
      </c>
      <c r="Q15" s="11" t="n">
        <f aca="false">G15*I15</f>
        <v>2870</v>
      </c>
      <c r="R15" s="11" t="n">
        <f aca="false">P15-Q15</f>
        <v>1680</v>
      </c>
      <c r="S15" s="12" t="n">
        <f aca="false">R15/P15</f>
        <v>0.369230769230769</v>
      </c>
      <c r="T15" s="9" t="str">
        <f aca="false">IF(S15&gt;=0.3,"Alta",IF(S15&gt;=0.15,"Media","Baja"))</f>
        <v>Alta</v>
      </c>
      <c r="U15" s="9" t="str">
        <f aca="false">IF(P15&gt;=10000,"Grande",IF(P15&gt;=5000,"Mediana","Pequeña"))</f>
        <v>Pequeña</v>
      </c>
      <c r="V15" s="9" t="str">
        <f aca="false">IF(AND(O15="Estratégico",S15&gt;=0.3),"Alta",IF(AND(O15="Estratégico",S15&lt;0.3),"Media",IF(AND(O15="Potencial",S15&gt;=0.3),"Media","Baja")))</f>
        <v>Alta</v>
      </c>
    </row>
    <row r="16" customFormat="false" ht="14.25" hidden="false" customHeight="true" outlineLevel="0" collapsed="false">
      <c r="B16" s="5" t="s">
        <v>51</v>
      </c>
      <c r="C16" s="6" t="n">
        <v>46139</v>
      </c>
      <c r="D16" s="5" t="s">
        <v>32</v>
      </c>
      <c r="E16" s="7" t="s">
        <v>42</v>
      </c>
      <c r="F16" s="5" t="s">
        <v>34</v>
      </c>
      <c r="G16" s="5" t="n">
        <v>450</v>
      </c>
      <c r="H16" s="5" t="n">
        <v>12.5</v>
      </c>
      <c r="I16" s="5" t="n">
        <v>8.7</v>
      </c>
      <c r="J16" s="8" t="s">
        <v>25</v>
      </c>
      <c r="K16" s="9" t="str">
        <f aca="false">VLOOKUP(E16,'2. Productos'!$C$4:$F$8,2,FALSE())</f>
        <v>Aceite de ajonjolí</v>
      </c>
      <c r="L16" s="9" t="str">
        <f aca="false">VLOOKUP(E16,'2. Productos'!$C$4:$F$8,3,FALSE())</f>
        <v>Aceites</v>
      </c>
      <c r="M16" s="9" t="str">
        <f aca="false">VLOOKUP(F16,'3. Mercados'!$C$4:$F$9,2,FALSE())</f>
        <v>Centroamérica</v>
      </c>
      <c r="N16" s="10" t="n">
        <f aca="false">VLOOKUP(F16,'3. Mercados'!$C$4:$F$9,3,FALSE())</f>
        <v>0.02</v>
      </c>
      <c r="O16" s="9" t="str">
        <f aca="false">VLOOKUP(F16,'3. Mercados'!$C$4:$F$9,4,FALSE())</f>
        <v>Estratégico</v>
      </c>
      <c r="P16" s="11" t="n">
        <f aca="false">G16*H16</f>
        <v>5625</v>
      </c>
      <c r="Q16" s="11" t="n">
        <f aca="false">G16*I16</f>
        <v>3915</v>
      </c>
      <c r="R16" s="11" t="n">
        <f aca="false">P16-Q16</f>
        <v>1710</v>
      </c>
      <c r="S16" s="12" t="n">
        <f aca="false">R16/P16</f>
        <v>0.304</v>
      </c>
      <c r="T16" s="9" t="str">
        <f aca="false">IF(S16&gt;=0.3,"Alta",IF(S16&gt;=0.15,"Media","Baja"))</f>
        <v>Alta</v>
      </c>
      <c r="U16" s="9" t="str">
        <f aca="false">IF(P16&gt;=10000,"Grande",IF(P16&gt;=5000,"Mediana","Pequeña"))</f>
        <v>Mediana</v>
      </c>
      <c r="V16" s="9" t="str">
        <f aca="false">IF(AND(O16="Estratégico",S16&gt;=0.3),"Alta",IF(AND(O16="Estratégico",S16&lt;0.3),"Media",IF(AND(O16="Potencial",S16&gt;=0.3),"Media","Baja")))</f>
        <v>Alta</v>
      </c>
    </row>
    <row r="17" customFormat="false" ht="14.25" hidden="false" customHeight="true" outlineLevel="0" collapsed="false">
      <c r="B17" s="5" t="s">
        <v>52</v>
      </c>
      <c r="C17" s="6" t="n">
        <v>46147</v>
      </c>
      <c r="D17" s="5" t="s">
        <v>36</v>
      </c>
      <c r="E17" s="7" t="s">
        <v>23</v>
      </c>
      <c r="F17" s="5" t="s">
        <v>38</v>
      </c>
      <c r="G17" s="5" t="n">
        <v>1000</v>
      </c>
      <c r="H17" s="5" t="n">
        <v>4.8</v>
      </c>
      <c r="I17" s="5" t="n">
        <v>3.2</v>
      </c>
      <c r="J17" s="8" t="s">
        <v>30</v>
      </c>
      <c r="K17" s="9" t="str">
        <f aca="false">VLOOKUP(E17,'2. Productos'!$C$4:$F$8,2,FALSE())</f>
        <v>Miel natural</v>
      </c>
      <c r="L17" s="9" t="str">
        <f aca="false">VLOOKUP(E17,'2. Productos'!$C$4:$F$8,3,FALSE())</f>
        <v>Apícola</v>
      </c>
      <c r="M17" s="9" t="str">
        <f aca="false">VLOOKUP(F17,'3. Mercados'!$C$4:$F$9,2,FALSE())</f>
        <v>Europa</v>
      </c>
      <c r="N17" s="10" t="n">
        <f aca="false">VLOOKUP(F17,'3. Mercados'!$C$4:$F$9,3,FALSE())</f>
        <v>0.1</v>
      </c>
      <c r="O17" s="9" t="str">
        <f aca="false">VLOOKUP(F17,'3. Mercados'!$C$4:$F$9,4,FALSE())</f>
        <v>Potencial</v>
      </c>
      <c r="P17" s="11" t="n">
        <f aca="false">G17*H17</f>
        <v>4800</v>
      </c>
      <c r="Q17" s="11" t="n">
        <f aca="false">G17*I17</f>
        <v>3200</v>
      </c>
      <c r="R17" s="11" t="n">
        <f aca="false">P17-Q17</f>
        <v>1600</v>
      </c>
      <c r="S17" s="12" t="n">
        <f aca="false">R17/P17</f>
        <v>0.333333333333333</v>
      </c>
      <c r="T17" s="9" t="str">
        <f aca="false">IF(S17&gt;=0.3,"Alta",IF(S17&gt;=0.15,"Media","Baja"))</f>
        <v>Alta</v>
      </c>
      <c r="U17" s="9" t="str">
        <f aca="false">IF(P17&gt;=10000,"Grande",IF(P17&gt;=5000,"Mediana","Pequeña"))</f>
        <v>Pequeña</v>
      </c>
      <c r="V17" s="9" t="str">
        <f aca="false">IF(AND(O17="Estratégico",S17&gt;=0.3),"Alta",IF(AND(O17="Estratégico",S17&lt;0.3),"Media",IF(AND(O17="Potencial",S17&gt;=0.3),"Media","Baja")))</f>
        <v>Media</v>
      </c>
    </row>
    <row r="18" customFormat="false" ht="14.25" hidden="false" customHeight="true" outlineLevel="0" collapsed="false">
      <c r="B18" s="5" t="s">
        <v>53</v>
      </c>
      <c r="C18" s="6" t="n">
        <v>46156</v>
      </c>
      <c r="D18" s="5" t="s">
        <v>41</v>
      </c>
      <c r="E18" s="7" t="s">
        <v>28</v>
      </c>
      <c r="F18" s="5" t="s">
        <v>43</v>
      </c>
      <c r="G18" s="5" t="n">
        <v>850</v>
      </c>
      <c r="H18" s="5" t="n">
        <v>6.5</v>
      </c>
      <c r="I18" s="5" t="n">
        <v>4.1</v>
      </c>
      <c r="J18" s="8" t="s">
        <v>25</v>
      </c>
      <c r="K18" s="9" t="str">
        <f aca="false">VLOOKUP(E18,'2. Productos'!$C$4:$F$8,2,FALSE())</f>
        <v>Café especial</v>
      </c>
      <c r="L18" s="9" t="str">
        <f aca="false">VLOOKUP(E18,'2. Productos'!$C$4:$F$8,3,FALSE())</f>
        <v>Café</v>
      </c>
      <c r="M18" s="9" t="str">
        <f aca="false">VLOOKUP(F18,'3. Mercados'!$C$4:$F$9,2,FALSE())</f>
        <v>Norteamérica</v>
      </c>
      <c r="N18" s="10" t="n">
        <f aca="false">VLOOKUP(F18,'3. Mercados'!$C$4:$F$9,3,FALSE())</f>
        <v>0.08</v>
      </c>
      <c r="O18" s="9" t="str">
        <f aca="false">VLOOKUP(F18,'3. Mercados'!$C$4:$F$9,4,FALSE())</f>
        <v>Potencial</v>
      </c>
      <c r="P18" s="11" t="n">
        <f aca="false">G18*H18</f>
        <v>5525</v>
      </c>
      <c r="Q18" s="11" t="n">
        <f aca="false">G18*I18</f>
        <v>3485</v>
      </c>
      <c r="R18" s="11" t="n">
        <f aca="false">P18-Q18</f>
        <v>2040</v>
      </c>
      <c r="S18" s="12" t="n">
        <f aca="false">R18/P18</f>
        <v>0.369230769230769</v>
      </c>
      <c r="T18" s="9" t="str">
        <f aca="false">IF(S18&gt;=0.3,"Alta",IF(S18&gt;=0.15,"Media","Baja"))</f>
        <v>Alta</v>
      </c>
      <c r="U18" s="9" t="str">
        <f aca="false">IF(P18&gt;=10000,"Grande",IF(P18&gt;=5000,"Mediana","Pequeña"))</f>
        <v>Mediana</v>
      </c>
      <c r="V18" s="9" t="str">
        <f aca="false">IF(AND(O18="Estratégico",S18&gt;=0.3),"Alta",IF(AND(O18="Estratégico",S18&lt;0.3),"Media",IF(AND(O18="Potencial",S18&gt;=0.3),"Media","Baja")))</f>
        <v>Media</v>
      </c>
    </row>
    <row r="19" customFormat="false" ht="14.25" hidden="false" customHeight="true" outlineLevel="0" collapsed="false">
      <c r="B19" s="5" t="s">
        <v>54</v>
      </c>
      <c r="C19" s="6" t="n">
        <v>46164</v>
      </c>
      <c r="D19" s="5" t="s">
        <v>27</v>
      </c>
      <c r="E19" s="7" t="s">
        <v>37</v>
      </c>
      <c r="F19" s="5" t="s">
        <v>29</v>
      </c>
      <c r="G19" s="5" t="n">
        <v>1250</v>
      </c>
      <c r="H19" s="5" t="n">
        <v>7.1</v>
      </c>
      <c r="I19" s="5" t="n">
        <v>4.8</v>
      </c>
      <c r="J19" s="8" t="s">
        <v>30</v>
      </c>
      <c r="K19" s="9" t="str">
        <f aca="false">VLOOKUP(E19,'2. Productos'!$C$4:$F$8,2,FALSE())</f>
        <v>Cacao en grano</v>
      </c>
      <c r="L19" s="9" t="str">
        <f aca="false">VLOOKUP(E19,'2. Productos'!$C$4:$F$8,3,FALSE())</f>
        <v>Cacao</v>
      </c>
      <c r="M19" s="9" t="str">
        <f aca="false">VLOOKUP(F19,'3. Mercados'!$C$4:$F$9,2,FALSE())</f>
        <v>Norteamérica</v>
      </c>
      <c r="N19" s="10" t="n">
        <f aca="false">VLOOKUP(F19,'3. Mercados'!$C$4:$F$9,3,FALSE())</f>
        <v>0.05</v>
      </c>
      <c r="O19" s="9" t="str">
        <f aca="false">VLOOKUP(F19,'3. Mercados'!$C$4:$F$9,4,FALSE())</f>
        <v>Estratégico</v>
      </c>
      <c r="P19" s="11" t="n">
        <f aca="false">G19*H19</f>
        <v>8875</v>
      </c>
      <c r="Q19" s="11" t="n">
        <f aca="false">G19*I19</f>
        <v>6000</v>
      </c>
      <c r="R19" s="11" t="n">
        <f aca="false">P19-Q19</f>
        <v>2875</v>
      </c>
      <c r="S19" s="12" t="n">
        <f aca="false">R19/P19</f>
        <v>0.323943661971831</v>
      </c>
      <c r="T19" s="9" t="str">
        <f aca="false">IF(S19&gt;=0.3,"Alta",IF(S19&gt;=0.15,"Media","Baja"))</f>
        <v>Alta</v>
      </c>
      <c r="U19" s="9" t="str">
        <f aca="false">IF(P19&gt;=10000,"Grande",IF(P19&gt;=5000,"Mediana","Pequeña"))</f>
        <v>Mediana</v>
      </c>
      <c r="V19" s="9" t="str">
        <f aca="false">IF(AND(O19="Estratégico",S19&gt;=0.3),"Alta",IF(AND(O19="Estratégico",S19&lt;0.3),"Media",IF(AND(O19="Potencial",S19&gt;=0.3),"Media","Baja")))</f>
        <v>Alta</v>
      </c>
    </row>
    <row r="20" customFormat="false" ht="14.25" hidden="false" customHeight="true" outlineLevel="0" collapsed="false">
      <c r="B20" s="5" t="s">
        <v>55</v>
      </c>
      <c r="C20" s="6" t="n">
        <v>46172</v>
      </c>
      <c r="D20" s="5" t="s">
        <v>22</v>
      </c>
      <c r="E20" s="7" t="s">
        <v>42</v>
      </c>
      <c r="F20" s="5" t="s">
        <v>24</v>
      </c>
      <c r="G20" s="5" t="n">
        <v>550</v>
      </c>
      <c r="H20" s="5" t="n">
        <v>12.5</v>
      </c>
      <c r="I20" s="5" t="n">
        <v>8.7</v>
      </c>
      <c r="J20" s="8" t="s">
        <v>25</v>
      </c>
      <c r="K20" s="9" t="str">
        <f aca="false">VLOOKUP(E20,'2. Productos'!$C$4:$F$8,2,FALSE())</f>
        <v>Aceite de ajonjolí</v>
      </c>
      <c r="L20" s="9" t="str">
        <f aca="false">VLOOKUP(E20,'2. Productos'!$C$4:$F$8,3,FALSE())</f>
        <v>Aceites</v>
      </c>
      <c r="M20" s="9" t="str">
        <f aca="false">VLOOKUP(F20,'3. Mercados'!$C$4:$F$9,2,FALSE())</f>
        <v>Centroamérica</v>
      </c>
      <c r="N20" s="10" t="n">
        <f aca="false">VLOOKUP(F20,'3. Mercados'!$C$4:$F$9,3,FALSE())</f>
        <v>0.03</v>
      </c>
      <c r="O20" s="9" t="str">
        <f aca="false">VLOOKUP(F20,'3. Mercados'!$C$4:$F$9,4,FALSE())</f>
        <v>Estratégico</v>
      </c>
      <c r="P20" s="11" t="n">
        <f aca="false">G20*H20</f>
        <v>6875</v>
      </c>
      <c r="Q20" s="11" t="n">
        <f aca="false">G20*I20</f>
        <v>4785</v>
      </c>
      <c r="R20" s="11" t="n">
        <f aca="false">P20-Q20</f>
        <v>2090</v>
      </c>
      <c r="S20" s="12" t="n">
        <f aca="false">R20/P20</f>
        <v>0.304</v>
      </c>
      <c r="T20" s="9" t="str">
        <f aca="false">IF(S20&gt;=0.3,"Alta",IF(S20&gt;=0.15,"Media","Baja"))</f>
        <v>Alta</v>
      </c>
      <c r="U20" s="9" t="str">
        <f aca="false">IF(P20&gt;=10000,"Grande",IF(P20&gt;=5000,"Mediana","Pequeña"))</f>
        <v>Mediana</v>
      </c>
      <c r="V20" s="9" t="str">
        <f aca="false">IF(AND(O20="Estratégico",S20&gt;=0.3),"Alta",IF(AND(O20="Estratégico",S20&lt;0.3),"Media",IF(AND(O20="Potencial",S20&gt;=0.3),"Media","Baja")))</f>
        <v>Alta</v>
      </c>
    </row>
    <row r="21" customFormat="false" ht="14.25" hidden="false" customHeight="true" outlineLevel="0" collapsed="false">
      <c r="B21" s="5" t="s">
        <v>56</v>
      </c>
      <c r="C21" s="6" t="n">
        <v>46180</v>
      </c>
      <c r="D21" s="5" t="s">
        <v>32</v>
      </c>
      <c r="E21" s="7" t="s">
        <v>23</v>
      </c>
      <c r="F21" s="5" t="s">
        <v>34</v>
      </c>
      <c r="G21" s="5" t="n">
        <v>800</v>
      </c>
      <c r="H21" s="5" t="n">
        <v>4.8</v>
      </c>
      <c r="I21" s="5" t="n">
        <v>3.2</v>
      </c>
      <c r="J21" s="8" t="s">
        <v>30</v>
      </c>
      <c r="K21" s="9" t="str">
        <f aca="false">VLOOKUP(E21,'2. Productos'!$C$4:$F$8,2,FALSE())</f>
        <v>Miel natural</v>
      </c>
      <c r="L21" s="9" t="str">
        <f aca="false">VLOOKUP(E21,'2. Productos'!$C$4:$F$8,3,FALSE())</f>
        <v>Apícola</v>
      </c>
      <c r="M21" s="9" t="str">
        <f aca="false">VLOOKUP(F21,'3. Mercados'!$C$4:$F$9,2,FALSE())</f>
        <v>Centroamérica</v>
      </c>
      <c r="N21" s="10" t="n">
        <f aca="false">VLOOKUP(F21,'3. Mercados'!$C$4:$F$9,3,FALSE())</f>
        <v>0.02</v>
      </c>
      <c r="O21" s="9" t="str">
        <f aca="false">VLOOKUP(F21,'3. Mercados'!$C$4:$F$9,4,FALSE())</f>
        <v>Estratégico</v>
      </c>
      <c r="P21" s="11" t="n">
        <f aca="false">G21*H21</f>
        <v>3840</v>
      </c>
      <c r="Q21" s="11" t="n">
        <f aca="false">G21*I21</f>
        <v>2560</v>
      </c>
      <c r="R21" s="11" t="n">
        <f aca="false">P21-Q21</f>
        <v>1280</v>
      </c>
      <c r="S21" s="12" t="n">
        <f aca="false">R21/P21</f>
        <v>0.333333333333333</v>
      </c>
      <c r="T21" s="9" t="str">
        <f aca="false">IF(S21&gt;=0.3,"Alta",IF(S21&gt;=0.15,"Media","Baja"))</f>
        <v>Alta</v>
      </c>
      <c r="U21" s="9" t="str">
        <f aca="false">IF(P21&gt;=10000,"Grande",IF(P21&gt;=5000,"Mediana","Pequeña"))</f>
        <v>Pequeña</v>
      </c>
      <c r="V21" s="9" t="str">
        <f aca="false">IF(AND(O21="Estratégico",S21&gt;=0.3),"Alta",IF(AND(O21="Estratégico",S21&lt;0.3),"Media",IF(AND(O21="Potencial",S21&gt;=0.3),"Media","Baja")))</f>
        <v>Alta</v>
      </c>
    </row>
    <row r="22" customFormat="false" ht="14.25" hidden="false" customHeight="true" outlineLevel="0" collapsed="false">
      <c r="B22" s="5" t="s">
        <v>57</v>
      </c>
      <c r="C22" s="6" t="n">
        <v>46189</v>
      </c>
      <c r="D22" s="5" t="s">
        <v>36</v>
      </c>
      <c r="E22" s="7" t="s">
        <v>33</v>
      </c>
      <c r="F22" s="5" t="s">
        <v>38</v>
      </c>
      <c r="G22" s="5" t="n">
        <v>900</v>
      </c>
      <c r="H22" s="5" t="n">
        <v>8.2</v>
      </c>
      <c r="I22" s="5" t="n">
        <v>5.9</v>
      </c>
      <c r="J22" s="8" t="s">
        <v>39</v>
      </c>
      <c r="K22" s="9" t="str">
        <f aca="false">VLOOKUP(E22,'2. Productos'!$C$4:$F$8,2,FALSE())</f>
        <v>Maní procesado</v>
      </c>
      <c r="L22" s="9" t="str">
        <f aca="false">VLOOKUP(E22,'2. Productos'!$C$4:$F$8,3,FALSE())</f>
        <v>Semillas</v>
      </c>
      <c r="M22" s="9" t="str">
        <f aca="false">VLOOKUP(F22,'3. Mercados'!$C$4:$F$9,2,FALSE())</f>
        <v>Europa</v>
      </c>
      <c r="N22" s="10" t="n">
        <f aca="false">VLOOKUP(F22,'3. Mercados'!$C$4:$F$9,3,FALSE())</f>
        <v>0.1</v>
      </c>
      <c r="O22" s="9" t="str">
        <f aca="false">VLOOKUP(F22,'3. Mercados'!$C$4:$F$9,4,FALSE())</f>
        <v>Potencial</v>
      </c>
      <c r="P22" s="11" t="n">
        <f aca="false">G22*H22</f>
        <v>7380</v>
      </c>
      <c r="Q22" s="11" t="n">
        <f aca="false">G22*I22</f>
        <v>5310</v>
      </c>
      <c r="R22" s="11" t="n">
        <f aca="false">P22-Q22</f>
        <v>2070</v>
      </c>
      <c r="S22" s="12" t="n">
        <f aca="false">R22/P22</f>
        <v>0.280487804878049</v>
      </c>
      <c r="T22" s="9" t="str">
        <f aca="false">IF(S22&gt;=0.3,"Alta",IF(S22&gt;=0.15,"Media","Baja"))</f>
        <v>Media</v>
      </c>
      <c r="U22" s="9" t="str">
        <f aca="false">IF(P22&gt;=10000,"Grande",IF(P22&gt;=5000,"Mediana","Pequeña"))</f>
        <v>Mediana</v>
      </c>
      <c r="V22" s="9" t="str">
        <f aca="false">IF(AND(O22="Estratégico",S22&gt;=0.3),"Alta",IF(AND(O22="Estratégico",S22&lt;0.3),"Media",IF(AND(O22="Potencial",S22&gt;=0.3),"Media","Baja")))</f>
        <v>Baja</v>
      </c>
    </row>
    <row r="23" customFormat="false" ht="14.25" hidden="false" customHeight="true" outlineLevel="0" collapsed="false">
      <c r="B23" s="5" t="s">
        <v>58</v>
      </c>
      <c r="C23" s="6" t="n">
        <v>46198</v>
      </c>
      <c r="D23" s="5" t="s">
        <v>41</v>
      </c>
      <c r="E23" s="7" t="s">
        <v>42</v>
      </c>
      <c r="F23" s="5" t="s">
        <v>43</v>
      </c>
      <c r="G23" s="5" t="n">
        <v>650</v>
      </c>
      <c r="H23" s="5" t="n">
        <v>12.5</v>
      </c>
      <c r="I23" s="5" t="n">
        <v>8.7</v>
      </c>
      <c r="J23" s="8" t="s">
        <v>30</v>
      </c>
      <c r="K23" s="9" t="str">
        <f aca="false">VLOOKUP(E23,'2. Productos'!$C$4:$F$8,2,FALSE())</f>
        <v>Aceite de ajonjolí</v>
      </c>
      <c r="L23" s="9" t="str">
        <f aca="false">VLOOKUP(E23,'2. Productos'!$C$4:$F$8,3,FALSE())</f>
        <v>Aceites</v>
      </c>
      <c r="M23" s="9" t="str">
        <f aca="false">VLOOKUP(F23,'3. Mercados'!$C$4:$F$9,2,FALSE())</f>
        <v>Norteamérica</v>
      </c>
      <c r="N23" s="10" t="n">
        <f aca="false">VLOOKUP(F23,'3. Mercados'!$C$4:$F$9,3,FALSE())</f>
        <v>0.08</v>
      </c>
      <c r="O23" s="9" t="str">
        <f aca="false">VLOOKUP(F23,'3. Mercados'!$C$4:$F$9,4,FALSE())</f>
        <v>Potencial</v>
      </c>
      <c r="P23" s="11" t="n">
        <f aca="false">G23*H23</f>
        <v>8125</v>
      </c>
      <c r="Q23" s="11" t="n">
        <f aca="false">G23*I23</f>
        <v>5655</v>
      </c>
      <c r="R23" s="11" t="n">
        <f aca="false">P23-Q23</f>
        <v>2470</v>
      </c>
      <c r="S23" s="12" t="n">
        <f aca="false">R23/P23</f>
        <v>0.304</v>
      </c>
      <c r="T23" s="9" t="str">
        <f aca="false">IF(S23&gt;=0.3,"Alta",IF(S23&gt;=0.15,"Media","Baja"))</f>
        <v>Alta</v>
      </c>
      <c r="U23" s="9" t="str">
        <f aca="false">IF(P23&gt;=10000,"Grande",IF(P23&gt;=5000,"Mediana","Pequeña"))</f>
        <v>Mediana</v>
      </c>
      <c r="V23" s="9" t="str">
        <f aca="false">IF(AND(O23="Estratégico",S23&gt;=0.3),"Alta",IF(AND(O23="Estratégico",S23&lt;0.3),"Media",IF(AND(O23="Potencial",S23&gt;=0.3),"Media","Baja")))</f>
        <v>Media</v>
      </c>
    </row>
    <row r="24" customFormat="false" ht="14.25" hidden="false" customHeight="true" outlineLevel="0" collapsed="false">
      <c r="B24" s="5" t="s">
        <v>59</v>
      </c>
      <c r="C24" s="6" t="n">
        <v>46206</v>
      </c>
      <c r="D24" s="5" t="s">
        <v>27</v>
      </c>
      <c r="E24" s="7" t="s">
        <v>28</v>
      </c>
      <c r="F24" s="5" t="s">
        <v>29</v>
      </c>
      <c r="G24" s="5" t="n">
        <v>1500</v>
      </c>
      <c r="H24" s="5" t="n">
        <v>6.5</v>
      </c>
      <c r="I24" s="5" t="n">
        <v>4.1</v>
      </c>
      <c r="J24" s="8" t="s">
        <v>25</v>
      </c>
      <c r="K24" s="9" t="str">
        <f aca="false">VLOOKUP(E24,'2. Productos'!$C$4:$F$8,2,FALSE())</f>
        <v>Café especial</v>
      </c>
      <c r="L24" s="9" t="str">
        <f aca="false">VLOOKUP(E24,'2. Productos'!$C$4:$F$8,3,FALSE())</f>
        <v>Café</v>
      </c>
      <c r="M24" s="9" t="str">
        <f aca="false">VLOOKUP(F24,'3. Mercados'!$C$4:$F$9,2,FALSE())</f>
        <v>Norteamérica</v>
      </c>
      <c r="N24" s="10" t="n">
        <f aca="false">VLOOKUP(F24,'3. Mercados'!$C$4:$F$9,3,FALSE())</f>
        <v>0.05</v>
      </c>
      <c r="O24" s="9" t="str">
        <f aca="false">VLOOKUP(F24,'3. Mercados'!$C$4:$F$9,4,FALSE())</f>
        <v>Estratégico</v>
      </c>
      <c r="P24" s="11" t="n">
        <f aca="false">G24*H24</f>
        <v>9750</v>
      </c>
      <c r="Q24" s="11" t="n">
        <f aca="false">G24*I24</f>
        <v>6150</v>
      </c>
      <c r="R24" s="11" t="n">
        <f aca="false">P24-Q24</f>
        <v>3600</v>
      </c>
      <c r="S24" s="12" t="n">
        <f aca="false">R24/P24</f>
        <v>0.369230769230769</v>
      </c>
      <c r="T24" s="9" t="str">
        <f aca="false">IF(S24&gt;=0.3,"Alta",IF(S24&gt;=0.15,"Media","Baja"))</f>
        <v>Alta</v>
      </c>
      <c r="U24" s="9" t="str">
        <f aca="false">IF(P24&gt;=10000,"Grande",IF(P24&gt;=5000,"Mediana","Pequeña"))</f>
        <v>Mediana</v>
      </c>
      <c r="V24" s="9" t="str">
        <f aca="false">IF(AND(O24="Estratégico",S24&gt;=0.3),"Alta",IF(AND(O24="Estratégico",S24&lt;0.3),"Media",IF(AND(O24="Potencial",S24&gt;=0.3),"Media","Baja")))</f>
        <v>Alta</v>
      </c>
    </row>
    <row r="25" customFormat="false" ht="14.25" hidden="false" customHeight="true" outlineLevel="0" collapsed="false">
      <c r="B25" s="5" t="s">
        <v>60</v>
      </c>
      <c r="C25" s="6" t="n">
        <v>46214</v>
      </c>
      <c r="D25" s="5" t="s">
        <v>22</v>
      </c>
      <c r="E25" s="7" t="s">
        <v>37</v>
      </c>
      <c r="F25" s="5" t="s">
        <v>24</v>
      </c>
      <c r="G25" s="5" t="n">
        <v>1000</v>
      </c>
      <c r="H25" s="5" t="n">
        <v>7.1</v>
      </c>
      <c r="I25" s="5" t="n">
        <v>4.8</v>
      </c>
      <c r="J25" s="8" t="s">
        <v>30</v>
      </c>
      <c r="K25" s="9" t="str">
        <f aca="false">VLOOKUP(E25,'2. Productos'!$C$4:$F$8,2,FALSE())</f>
        <v>Cacao en grano</v>
      </c>
      <c r="L25" s="9" t="str">
        <f aca="false">VLOOKUP(E25,'2. Productos'!$C$4:$F$8,3,FALSE())</f>
        <v>Cacao</v>
      </c>
      <c r="M25" s="9" t="str">
        <f aca="false">VLOOKUP(F25,'3. Mercados'!$C$4:$F$9,2,FALSE())</f>
        <v>Centroamérica</v>
      </c>
      <c r="N25" s="10" t="n">
        <f aca="false">VLOOKUP(F25,'3. Mercados'!$C$4:$F$9,3,FALSE())</f>
        <v>0.03</v>
      </c>
      <c r="O25" s="9" t="str">
        <f aca="false">VLOOKUP(F25,'3. Mercados'!$C$4:$F$9,4,FALSE())</f>
        <v>Estratégico</v>
      </c>
      <c r="P25" s="11" t="n">
        <f aca="false">G25*H25</f>
        <v>7100</v>
      </c>
      <c r="Q25" s="11" t="n">
        <f aca="false">G25*I25</f>
        <v>4800</v>
      </c>
      <c r="R25" s="11" t="n">
        <f aca="false">P25-Q25</f>
        <v>2300</v>
      </c>
      <c r="S25" s="12" t="n">
        <f aca="false">R25/P25</f>
        <v>0.323943661971831</v>
      </c>
      <c r="T25" s="9" t="str">
        <f aca="false">IF(S25&gt;=0.3,"Alta",IF(S25&gt;=0.15,"Media","Baja"))</f>
        <v>Alta</v>
      </c>
      <c r="U25" s="9" t="str">
        <f aca="false">IF(P25&gt;=10000,"Grande",IF(P25&gt;=5000,"Mediana","Pequeña"))</f>
        <v>Mediana</v>
      </c>
      <c r="V25" s="9" t="str">
        <f aca="false">IF(AND(O25="Estratégico",S25&gt;=0.3),"Alta",IF(AND(O25="Estratégico",S25&lt;0.3),"Media",IF(AND(O25="Potencial",S25&gt;=0.3),"Media","Baja")))</f>
        <v>Alta</v>
      </c>
    </row>
    <row r="26" customFormat="false" ht="14.25" hidden="false" customHeight="true" outlineLevel="0" collapsed="false">
      <c r="B26" s="5" t="s">
        <v>61</v>
      </c>
      <c r="C26" s="6" t="n">
        <v>46222</v>
      </c>
      <c r="D26" s="5" t="s">
        <v>32</v>
      </c>
      <c r="E26" s="7" t="s">
        <v>33</v>
      </c>
      <c r="F26" s="5" t="s">
        <v>34</v>
      </c>
      <c r="G26" s="5" t="n">
        <v>720</v>
      </c>
      <c r="H26" s="5" t="n">
        <v>8.2</v>
      </c>
      <c r="I26" s="5" t="n">
        <v>5.9</v>
      </c>
      <c r="J26" s="8" t="s">
        <v>25</v>
      </c>
      <c r="K26" s="9" t="str">
        <f aca="false">VLOOKUP(E26,'2. Productos'!$C$4:$F$8,2,FALSE())</f>
        <v>Maní procesado</v>
      </c>
      <c r="L26" s="9" t="str">
        <f aca="false">VLOOKUP(E26,'2. Productos'!$C$4:$F$8,3,FALSE())</f>
        <v>Semillas</v>
      </c>
      <c r="M26" s="9" t="str">
        <f aca="false">VLOOKUP(F26,'3. Mercados'!$C$4:$F$9,2,FALSE())</f>
        <v>Centroamérica</v>
      </c>
      <c r="N26" s="10" t="n">
        <f aca="false">VLOOKUP(F26,'3. Mercados'!$C$4:$F$9,3,FALSE())</f>
        <v>0.02</v>
      </c>
      <c r="O26" s="9" t="str">
        <f aca="false">VLOOKUP(F26,'3. Mercados'!$C$4:$F$9,4,FALSE())</f>
        <v>Estratégico</v>
      </c>
      <c r="P26" s="11" t="n">
        <f aca="false">G26*H26</f>
        <v>5904</v>
      </c>
      <c r="Q26" s="11" t="n">
        <f aca="false">G26*I26</f>
        <v>4248</v>
      </c>
      <c r="R26" s="11" t="n">
        <f aca="false">P26-Q26</f>
        <v>1656</v>
      </c>
      <c r="S26" s="12" t="n">
        <f aca="false">R26/P26</f>
        <v>0.280487804878049</v>
      </c>
      <c r="T26" s="9" t="str">
        <f aca="false">IF(S26&gt;=0.3,"Alta",IF(S26&gt;=0.15,"Media","Baja"))</f>
        <v>Media</v>
      </c>
      <c r="U26" s="9" t="str">
        <f aca="false">IF(P26&gt;=10000,"Grande",IF(P26&gt;=5000,"Mediana","Pequeña"))</f>
        <v>Mediana</v>
      </c>
      <c r="V26" s="9" t="str">
        <f aca="false">IF(AND(O26="Estratégico",S26&gt;=0.3),"Alta",IF(AND(O26="Estratégico",S26&lt;0.3),"Media",IF(AND(O26="Potencial",S26&gt;=0.3),"Media","Baja")))</f>
        <v>Media</v>
      </c>
    </row>
    <row r="27" customFormat="false" ht="14.25" hidden="false" customHeight="true" outlineLevel="0" collapsed="false">
      <c r="B27" s="5" t="s">
        <v>62</v>
      </c>
      <c r="C27" s="6" t="n">
        <v>46231</v>
      </c>
      <c r="D27" s="5" t="s">
        <v>36</v>
      </c>
      <c r="E27" s="7" t="s">
        <v>23</v>
      </c>
      <c r="F27" s="5" t="s">
        <v>38</v>
      </c>
      <c r="G27" s="5" t="n">
        <v>1150</v>
      </c>
      <c r="H27" s="5" t="n">
        <v>4.8</v>
      </c>
      <c r="I27" s="5" t="n">
        <v>3.2</v>
      </c>
      <c r="J27" s="8" t="s">
        <v>30</v>
      </c>
      <c r="K27" s="9" t="str">
        <f aca="false">VLOOKUP(E27,'2. Productos'!$C$4:$F$8,2,FALSE())</f>
        <v>Miel natural</v>
      </c>
      <c r="L27" s="9" t="str">
        <f aca="false">VLOOKUP(E27,'2. Productos'!$C$4:$F$8,3,FALSE())</f>
        <v>Apícola</v>
      </c>
      <c r="M27" s="9" t="str">
        <f aca="false">VLOOKUP(F27,'3. Mercados'!$C$4:$F$9,2,FALSE())</f>
        <v>Europa</v>
      </c>
      <c r="N27" s="10" t="n">
        <f aca="false">VLOOKUP(F27,'3. Mercados'!$C$4:$F$9,3,FALSE())</f>
        <v>0.1</v>
      </c>
      <c r="O27" s="9" t="str">
        <f aca="false">VLOOKUP(F27,'3. Mercados'!$C$4:$F$9,4,FALSE())</f>
        <v>Potencial</v>
      </c>
      <c r="P27" s="11" t="n">
        <f aca="false">G27*H27</f>
        <v>5520</v>
      </c>
      <c r="Q27" s="11" t="n">
        <f aca="false">G27*I27</f>
        <v>3680</v>
      </c>
      <c r="R27" s="11" t="n">
        <f aca="false">P27-Q27</f>
        <v>1840</v>
      </c>
      <c r="S27" s="12" t="n">
        <f aca="false">R27/P27</f>
        <v>0.333333333333333</v>
      </c>
      <c r="T27" s="9" t="str">
        <f aca="false">IF(S27&gt;=0.3,"Alta",IF(S27&gt;=0.15,"Media","Baja"))</f>
        <v>Alta</v>
      </c>
      <c r="U27" s="9" t="str">
        <f aca="false">IF(P27&gt;=10000,"Grande",IF(P27&gt;=5000,"Mediana","Pequeña"))</f>
        <v>Mediana</v>
      </c>
      <c r="V27" s="9" t="str">
        <f aca="false">IF(AND(O27="Estratégico",S27&gt;=0.3),"Alta",IF(AND(O27="Estratégico",S27&lt;0.3),"Media",IF(AND(O27="Potencial",S27&gt;=0.3),"Media","Baja")))</f>
        <v>Media</v>
      </c>
    </row>
    <row r="28" customFormat="false" ht="14.25" hidden="false" customHeight="true" outlineLevel="0" collapsed="false">
      <c r="B28" s="5" t="s">
        <v>63</v>
      </c>
      <c r="C28" s="6" t="n">
        <v>46239</v>
      </c>
      <c r="D28" s="5" t="s">
        <v>41</v>
      </c>
      <c r="E28" s="7" t="s">
        <v>28</v>
      </c>
      <c r="F28" s="5" t="s">
        <v>43</v>
      </c>
      <c r="G28" s="5" t="n">
        <v>950</v>
      </c>
      <c r="H28" s="5" t="n">
        <v>6.5</v>
      </c>
      <c r="I28" s="5" t="n">
        <v>4.1</v>
      </c>
      <c r="J28" s="8" t="s">
        <v>39</v>
      </c>
      <c r="K28" s="9" t="str">
        <f aca="false">VLOOKUP(E28,'2. Productos'!$C$4:$F$8,2,FALSE())</f>
        <v>Café especial</v>
      </c>
      <c r="L28" s="9" t="str">
        <f aca="false">VLOOKUP(E28,'2. Productos'!$C$4:$F$8,3,FALSE())</f>
        <v>Café</v>
      </c>
      <c r="M28" s="9" t="str">
        <f aca="false">VLOOKUP(F28,'3. Mercados'!$C$4:$F$9,2,FALSE())</f>
        <v>Norteamérica</v>
      </c>
      <c r="N28" s="10" t="n">
        <f aca="false">VLOOKUP(F28,'3. Mercados'!$C$4:$F$9,3,FALSE())</f>
        <v>0.08</v>
      </c>
      <c r="O28" s="9" t="str">
        <f aca="false">VLOOKUP(F28,'3. Mercados'!$C$4:$F$9,4,FALSE())</f>
        <v>Potencial</v>
      </c>
      <c r="P28" s="11" t="n">
        <f aca="false">G28*H28</f>
        <v>6175</v>
      </c>
      <c r="Q28" s="11" t="n">
        <f aca="false">G28*I28</f>
        <v>3895</v>
      </c>
      <c r="R28" s="11" t="n">
        <f aca="false">P28-Q28</f>
        <v>2280</v>
      </c>
      <c r="S28" s="12" t="n">
        <f aca="false">R28/P28</f>
        <v>0.369230769230769</v>
      </c>
      <c r="T28" s="9" t="str">
        <f aca="false">IF(S28&gt;=0.3,"Alta",IF(S28&gt;=0.15,"Media","Baja"))</f>
        <v>Alta</v>
      </c>
      <c r="U28" s="9" t="str">
        <f aca="false">IF(P28&gt;=10000,"Grande",IF(P28&gt;=5000,"Mediana","Pequeña"))</f>
        <v>Mediana</v>
      </c>
      <c r="V28" s="9" t="str">
        <f aca="false">IF(AND(O28="Estratégico",S28&gt;=0.3),"Alta",IF(AND(O28="Estratégico",S28&lt;0.3),"Media",IF(AND(O28="Potencial",S28&gt;=0.3),"Media","Baja")))</f>
        <v>Media</v>
      </c>
    </row>
    <row r="29" customFormat="false" ht="14.25" hidden="false" customHeight="true" outlineLevel="0" collapsed="false">
      <c r="B29" s="5" t="s">
        <v>64</v>
      </c>
      <c r="C29" s="6" t="n">
        <v>46247</v>
      </c>
      <c r="D29" s="5" t="s">
        <v>27</v>
      </c>
      <c r="E29" s="7" t="s">
        <v>42</v>
      </c>
      <c r="F29" s="5" t="s">
        <v>29</v>
      </c>
      <c r="G29" s="5" t="n">
        <v>700</v>
      </c>
      <c r="H29" s="5" t="n">
        <v>12.5</v>
      </c>
      <c r="I29" s="5" t="n">
        <v>8.7</v>
      </c>
      <c r="J29" s="8" t="s">
        <v>30</v>
      </c>
      <c r="K29" s="9" t="str">
        <f aca="false">VLOOKUP(E29,'2. Productos'!$C$4:$F$8,2,FALSE())</f>
        <v>Aceite de ajonjolí</v>
      </c>
      <c r="L29" s="9" t="str">
        <f aca="false">VLOOKUP(E29,'2. Productos'!$C$4:$F$8,3,FALSE())</f>
        <v>Aceites</v>
      </c>
      <c r="M29" s="9" t="str">
        <f aca="false">VLOOKUP(F29,'3. Mercados'!$C$4:$F$9,2,FALSE())</f>
        <v>Norteamérica</v>
      </c>
      <c r="N29" s="10" t="n">
        <f aca="false">VLOOKUP(F29,'3. Mercados'!$C$4:$F$9,3,FALSE())</f>
        <v>0.05</v>
      </c>
      <c r="O29" s="9" t="str">
        <f aca="false">VLOOKUP(F29,'3. Mercados'!$C$4:$F$9,4,FALSE())</f>
        <v>Estratégico</v>
      </c>
      <c r="P29" s="11" t="n">
        <f aca="false">G29*H29</f>
        <v>8750</v>
      </c>
      <c r="Q29" s="11" t="n">
        <f aca="false">G29*I29</f>
        <v>6090</v>
      </c>
      <c r="R29" s="11" t="n">
        <f aca="false">P29-Q29</f>
        <v>2660</v>
      </c>
      <c r="S29" s="12" t="n">
        <f aca="false">R29/P29</f>
        <v>0.304</v>
      </c>
      <c r="T29" s="9" t="str">
        <f aca="false">IF(S29&gt;=0.3,"Alta",IF(S29&gt;=0.15,"Media","Baja"))</f>
        <v>Alta</v>
      </c>
      <c r="U29" s="9" t="str">
        <f aca="false">IF(P29&gt;=10000,"Grande",IF(P29&gt;=5000,"Mediana","Pequeña"))</f>
        <v>Mediana</v>
      </c>
      <c r="V29" s="9" t="str">
        <f aca="false">IF(AND(O29="Estratégico",S29&gt;=0.3),"Alta",IF(AND(O29="Estratégico",S29&lt;0.3),"Media",IF(AND(O29="Potencial",S29&gt;=0.3),"Media","Baja")))</f>
        <v>Alta</v>
      </c>
    </row>
    <row r="30" customFormat="false" ht="14.25" hidden="false" customHeight="true" outlineLevel="0" collapsed="false">
      <c r="B30" s="5" t="s">
        <v>65</v>
      </c>
      <c r="C30" s="6" t="n">
        <v>46255</v>
      </c>
      <c r="D30" s="5" t="s">
        <v>22</v>
      </c>
      <c r="E30" s="7" t="s">
        <v>23</v>
      </c>
      <c r="F30" s="5" t="s">
        <v>24</v>
      </c>
      <c r="G30" s="5" t="n">
        <v>1050</v>
      </c>
      <c r="H30" s="5" t="n">
        <v>4.8</v>
      </c>
      <c r="I30" s="5" t="n">
        <v>3.2</v>
      </c>
      <c r="J30" s="8" t="s">
        <v>25</v>
      </c>
      <c r="K30" s="9" t="str">
        <f aca="false">VLOOKUP(E30,'2. Productos'!$C$4:$F$8,2,FALSE())</f>
        <v>Miel natural</v>
      </c>
      <c r="L30" s="9" t="str">
        <f aca="false">VLOOKUP(E30,'2. Productos'!$C$4:$F$8,3,FALSE())</f>
        <v>Apícola</v>
      </c>
      <c r="M30" s="9" t="str">
        <f aca="false">VLOOKUP(F30,'3. Mercados'!$C$4:$F$9,2,FALSE())</f>
        <v>Centroamérica</v>
      </c>
      <c r="N30" s="10" t="n">
        <f aca="false">VLOOKUP(F30,'3. Mercados'!$C$4:$F$9,3,FALSE())</f>
        <v>0.03</v>
      </c>
      <c r="O30" s="9" t="str">
        <f aca="false">VLOOKUP(F30,'3. Mercados'!$C$4:$F$9,4,FALSE())</f>
        <v>Estratégico</v>
      </c>
      <c r="P30" s="11" t="n">
        <f aca="false">G30*H30</f>
        <v>5040</v>
      </c>
      <c r="Q30" s="11" t="n">
        <f aca="false">G30*I30</f>
        <v>3360</v>
      </c>
      <c r="R30" s="11" t="n">
        <f aca="false">P30-Q30</f>
        <v>1680</v>
      </c>
      <c r="S30" s="12" t="n">
        <f aca="false">R30/P30</f>
        <v>0.333333333333333</v>
      </c>
      <c r="T30" s="9" t="str">
        <f aca="false">IF(S30&gt;=0.3,"Alta",IF(S30&gt;=0.15,"Media","Baja"))</f>
        <v>Alta</v>
      </c>
      <c r="U30" s="9" t="str">
        <f aca="false">IF(P30&gt;=10000,"Grande",IF(P30&gt;=5000,"Mediana","Pequeña"))</f>
        <v>Mediana</v>
      </c>
      <c r="V30" s="9" t="str">
        <f aca="false">IF(AND(O30="Estratégico",S30&gt;=0.3),"Alta",IF(AND(O30="Estratégico",S30&lt;0.3),"Media",IF(AND(O30="Potencial",S30&gt;=0.3),"Media","Baja")))</f>
        <v>Alta</v>
      </c>
    </row>
    <row r="31" customFormat="false" ht="14.25" hidden="false" customHeight="true" outlineLevel="0" collapsed="false">
      <c r="B31" s="5" t="s">
        <v>66</v>
      </c>
      <c r="C31" s="6" t="n">
        <v>46263</v>
      </c>
      <c r="D31" s="5" t="s">
        <v>32</v>
      </c>
      <c r="E31" s="7" t="s">
        <v>37</v>
      </c>
      <c r="F31" s="5" t="s">
        <v>34</v>
      </c>
      <c r="G31" s="5" t="n">
        <v>850</v>
      </c>
      <c r="H31" s="5" t="n">
        <v>7.1</v>
      </c>
      <c r="I31" s="5" t="n">
        <v>4.8</v>
      </c>
      <c r="J31" s="8" t="s">
        <v>30</v>
      </c>
      <c r="K31" s="9" t="str">
        <f aca="false">VLOOKUP(E31,'2. Productos'!$C$4:$F$8,2,FALSE())</f>
        <v>Cacao en grano</v>
      </c>
      <c r="L31" s="9" t="str">
        <f aca="false">VLOOKUP(E31,'2. Productos'!$C$4:$F$8,3,FALSE())</f>
        <v>Cacao</v>
      </c>
      <c r="M31" s="9" t="str">
        <f aca="false">VLOOKUP(F31,'3. Mercados'!$C$4:$F$9,2,FALSE())</f>
        <v>Centroamérica</v>
      </c>
      <c r="N31" s="10" t="n">
        <f aca="false">VLOOKUP(F31,'3. Mercados'!$C$4:$F$9,3,FALSE())</f>
        <v>0.02</v>
      </c>
      <c r="O31" s="9" t="str">
        <f aca="false">VLOOKUP(F31,'3. Mercados'!$C$4:$F$9,4,FALSE())</f>
        <v>Estratégico</v>
      </c>
      <c r="P31" s="11" t="n">
        <f aca="false">G31*H31</f>
        <v>6035</v>
      </c>
      <c r="Q31" s="11" t="n">
        <f aca="false">G31*I31</f>
        <v>4080</v>
      </c>
      <c r="R31" s="11" t="n">
        <f aca="false">P31-Q31</f>
        <v>1955</v>
      </c>
      <c r="S31" s="12" t="n">
        <f aca="false">R31/P31</f>
        <v>0.323943661971831</v>
      </c>
      <c r="T31" s="9" t="str">
        <f aca="false">IF(S31&gt;=0.3,"Alta",IF(S31&gt;=0.15,"Media","Baja"))</f>
        <v>Alta</v>
      </c>
      <c r="U31" s="9" t="str">
        <f aca="false">IF(P31&gt;=10000,"Grande",IF(P31&gt;=5000,"Mediana","Pequeña"))</f>
        <v>Mediana</v>
      </c>
      <c r="V31" s="9" t="str">
        <f aca="false">IF(AND(O31="Estratégico",S31&gt;=0.3),"Alta",IF(AND(O31="Estratégico",S31&lt;0.3),"Media",IF(AND(O31="Potencial",S31&gt;=0.3),"Media","Baja")))</f>
        <v>Alta</v>
      </c>
    </row>
    <row r="32" customFormat="false" ht="14.25" hidden="false" customHeight="true" outlineLevel="0" collapsed="false">
      <c r="B32" s="5" t="s">
        <v>67</v>
      </c>
      <c r="C32" s="6" t="n">
        <v>46269</v>
      </c>
      <c r="D32" s="5" t="s">
        <v>36</v>
      </c>
      <c r="E32" s="7" t="s">
        <v>28</v>
      </c>
      <c r="F32" s="5" t="s">
        <v>38</v>
      </c>
      <c r="G32" s="5" t="n">
        <v>1200</v>
      </c>
      <c r="H32" s="5" t="n">
        <v>6.5</v>
      </c>
      <c r="I32" s="5" t="n">
        <v>4.1</v>
      </c>
      <c r="J32" s="8" t="s">
        <v>25</v>
      </c>
      <c r="K32" s="9" t="str">
        <f aca="false">VLOOKUP(E32,'2. Productos'!$C$4:$F$8,2,FALSE())</f>
        <v>Café especial</v>
      </c>
      <c r="L32" s="9" t="str">
        <f aca="false">VLOOKUP(E32,'2. Productos'!$C$4:$F$8,3,FALSE())</f>
        <v>Café</v>
      </c>
      <c r="M32" s="9" t="str">
        <f aca="false">VLOOKUP(F32,'3. Mercados'!$C$4:$F$9,2,FALSE())</f>
        <v>Europa</v>
      </c>
      <c r="N32" s="10" t="n">
        <f aca="false">VLOOKUP(F32,'3. Mercados'!$C$4:$F$9,3,FALSE())</f>
        <v>0.1</v>
      </c>
      <c r="O32" s="9" t="str">
        <f aca="false">VLOOKUP(F32,'3. Mercados'!$C$4:$F$9,4,FALSE())</f>
        <v>Potencial</v>
      </c>
      <c r="P32" s="11" t="n">
        <f aca="false">G32*H32</f>
        <v>7800</v>
      </c>
      <c r="Q32" s="11" t="n">
        <f aca="false">G32*I32</f>
        <v>4920</v>
      </c>
      <c r="R32" s="11" t="n">
        <f aca="false">P32-Q32</f>
        <v>2880</v>
      </c>
      <c r="S32" s="12" t="n">
        <f aca="false">R32/P32</f>
        <v>0.369230769230769</v>
      </c>
      <c r="T32" s="9" t="str">
        <f aca="false">IF(S32&gt;=0.3,"Alta",IF(S32&gt;=0.15,"Media","Baja"))</f>
        <v>Alta</v>
      </c>
      <c r="U32" s="9" t="str">
        <f aca="false">IF(P32&gt;=10000,"Grande",IF(P32&gt;=5000,"Mediana","Pequeña"))</f>
        <v>Mediana</v>
      </c>
      <c r="V32" s="9" t="str">
        <f aca="false">IF(AND(O32="Estratégico",S32&gt;=0.3),"Alta",IF(AND(O32="Estratégico",S32&lt;0.3),"Media",IF(AND(O32="Potencial",S32&gt;=0.3),"Media","Baja")))</f>
        <v>Media</v>
      </c>
    </row>
    <row r="33" customFormat="false" ht="14.25" hidden="false" customHeight="true" outlineLevel="0" collapsed="false">
      <c r="B33" s="5" t="s">
        <v>68</v>
      </c>
      <c r="C33" s="6" t="n">
        <v>46277</v>
      </c>
      <c r="D33" s="5" t="s">
        <v>41</v>
      </c>
      <c r="E33" s="7" t="s">
        <v>33</v>
      </c>
      <c r="F33" s="5" t="s">
        <v>43</v>
      </c>
      <c r="G33" s="5" t="n">
        <v>600</v>
      </c>
      <c r="H33" s="5" t="n">
        <v>8.2</v>
      </c>
      <c r="I33" s="5" t="n">
        <v>5.9</v>
      </c>
      <c r="J33" s="8" t="s">
        <v>30</v>
      </c>
      <c r="K33" s="9" t="str">
        <f aca="false">VLOOKUP(E33,'2. Productos'!$C$4:$F$8,2,FALSE())</f>
        <v>Maní procesado</v>
      </c>
      <c r="L33" s="9" t="str">
        <f aca="false">VLOOKUP(E33,'2. Productos'!$C$4:$F$8,3,FALSE())</f>
        <v>Semillas</v>
      </c>
      <c r="M33" s="9" t="str">
        <f aca="false">VLOOKUP(F33,'3. Mercados'!$C$4:$F$9,2,FALSE())</f>
        <v>Norteamérica</v>
      </c>
      <c r="N33" s="10" t="n">
        <f aca="false">VLOOKUP(F33,'3. Mercados'!$C$4:$F$9,3,FALSE())</f>
        <v>0.08</v>
      </c>
      <c r="O33" s="9" t="str">
        <f aca="false">VLOOKUP(F33,'3. Mercados'!$C$4:$F$9,4,FALSE())</f>
        <v>Potencial</v>
      </c>
      <c r="P33" s="11" t="n">
        <f aca="false">G33*H33</f>
        <v>4920</v>
      </c>
      <c r="Q33" s="11" t="n">
        <f aca="false">G33*I33</f>
        <v>3540</v>
      </c>
      <c r="R33" s="11" t="n">
        <f aca="false">P33-Q33</f>
        <v>1380</v>
      </c>
      <c r="S33" s="12" t="n">
        <f aca="false">R33/P33</f>
        <v>0.280487804878049</v>
      </c>
      <c r="T33" s="9" t="str">
        <f aca="false">IF(S33&gt;=0.3,"Alta",IF(S33&gt;=0.15,"Media","Baja"))</f>
        <v>Media</v>
      </c>
      <c r="U33" s="9" t="str">
        <f aca="false">IF(P33&gt;=10000,"Grande",IF(P33&gt;=5000,"Mediana","Pequeña"))</f>
        <v>Pequeña</v>
      </c>
      <c r="V33" s="9" t="str">
        <f aca="false">IF(AND(O33="Estratégico",S33&gt;=0.3),"Alta",IF(AND(O33="Estratégico",S33&lt;0.3),"Media",IF(AND(O33="Potencial",S33&gt;=0.3),"Media","Baja")))</f>
        <v>Baja</v>
      </c>
    </row>
    <row r="34" customFormat="false" ht="14.25" hidden="false" customHeight="true" outlineLevel="0" collapsed="false">
      <c r="B34" s="5" t="s">
        <v>69</v>
      </c>
      <c r="C34" s="6" t="n">
        <v>46285</v>
      </c>
      <c r="D34" s="5" t="s">
        <v>27</v>
      </c>
      <c r="E34" s="7" t="s">
        <v>23</v>
      </c>
      <c r="F34" s="5" t="s">
        <v>29</v>
      </c>
      <c r="G34" s="5" t="n">
        <v>1350</v>
      </c>
      <c r="H34" s="5" t="n">
        <v>4.8</v>
      </c>
      <c r="I34" s="5" t="n">
        <v>3.2</v>
      </c>
      <c r="J34" s="8" t="s">
        <v>30</v>
      </c>
      <c r="K34" s="9" t="str">
        <f aca="false">VLOOKUP(E34,'2. Productos'!$C$4:$F$8,2,FALSE())</f>
        <v>Miel natural</v>
      </c>
      <c r="L34" s="9" t="str">
        <f aca="false">VLOOKUP(E34,'2. Productos'!$C$4:$F$8,3,FALSE())</f>
        <v>Apícola</v>
      </c>
      <c r="M34" s="9" t="str">
        <f aca="false">VLOOKUP(F34,'3. Mercados'!$C$4:$F$9,2,FALSE())</f>
        <v>Norteamérica</v>
      </c>
      <c r="N34" s="10" t="n">
        <f aca="false">VLOOKUP(F34,'3. Mercados'!$C$4:$F$9,3,FALSE())</f>
        <v>0.05</v>
      </c>
      <c r="O34" s="9" t="str">
        <f aca="false">VLOOKUP(F34,'3. Mercados'!$C$4:$F$9,4,FALSE())</f>
        <v>Estratégico</v>
      </c>
      <c r="P34" s="11" t="n">
        <f aca="false">G34*H34</f>
        <v>6480</v>
      </c>
      <c r="Q34" s="11" t="n">
        <f aca="false">G34*I34</f>
        <v>4320</v>
      </c>
      <c r="R34" s="11" t="n">
        <f aca="false">P34-Q34</f>
        <v>2160</v>
      </c>
      <c r="S34" s="12" t="n">
        <f aca="false">R34/P34</f>
        <v>0.333333333333333</v>
      </c>
      <c r="T34" s="9" t="str">
        <f aca="false">IF(S34&gt;=0.3,"Alta",IF(S34&gt;=0.15,"Media","Baja"))</f>
        <v>Alta</v>
      </c>
      <c r="U34" s="9" t="str">
        <f aca="false">IF(P34&gt;=10000,"Grande",IF(P34&gt;=5000,"Mediana","Pequeña"))</f>
        <v>Mediana</v>
      </c>
      <c r="V34" s="9" t="str">
        <f aca="false">IF(AND(O34="Estratégico",S34&gt;=0.3),"Alta",IF(AND(O34="Estratégico",S34&lt;0.3),"Media",IF(AND(O34="Potencial",S34&gt;=0.3),"Media","Baja")))</f>
        <v>Alta</v>
      </c>
    </row>
    <row r="35" customFormat="false" ht="14.25" hidden="false" customHeight="true" outlineLevel="0" collapsed="false">
      <c r="B35" s="5" t="s">
        <v>70</v>
      </c>
      <c r="C35" s="6" t="n">
        <v>46293</v>
      </c>
      <c r="D35" s="5" t="s">
        <v>22</v>
      </c>
      <c r="E35" s="7" t="s">
        <v>42</v>
      </c>
      <c r="F35" s="5" t="s">
        <v>24</v>
      </c>
      <c r="G35" s="5" t="n">
        <v>500</v>
      </c>
      <c r="H35" s="5" t="n">
        <v>12.5</v>
      </c>
      <c r="I35" s="5" t="n">
        <v>8.7</v>
      </c>
      <c r="J35" s="8" t="s">
        <v>39</v>
      </c>
      <c r="K35" s="9" t="str">
        <f aca="false">VLOOKUP(E35,'2. Productos'!$C$4:$F$8,2,FALSE())</f>
        <v>Aceite de ajonjolí</v>
      </c>
      <c r="L35" s="9" t="str">
        <f aca="false">VLOOKUP(E35,'2. Productos'!$C$4:$F$8,3,FALSE())</f>
        <v>Aceites</v>
      </c>
      <c r="M35" s="9" t="str">
        <f aca="false">VLOOKUP(F35,'3. Mercados'!$C$4:$F$9,2,FALSE())</f>
        <v>Centroamérica</v>
      </c>
      <c r="N35" s="10" t="n">
        <f aca="false">VLOOKUP(F35,'3. Mercados'!$C$4:$F$9,3,FALSE())</f>
        <v>0.03</v>
      </c>
      <c r="O35" s="9" t="str">
        <f aca="false">VLOOKUP(F35,'3. Mercados'!$C$4:$F$9,4,FALSE())</f>
        <v>Estratégico</v>
      </c>
      <c r="P35" s="11" t="n">
        <f aca="false">G35*H35</f>
        <v>6250</v>
      </c>
      <c r="Q35" s="11" t="n">
        <f aca="false">G35*I35</f>
        <v>4350</v>
      </c>
      <c r="R35" s="11" t="n">
        <f aca="false">P35-Q35</f>
        <v>1900</v>
      </c>
      <c r="S35" s="12" t="n">
        <f aca="false">R35/P35</f>
        <v>0.304</v>
      </c>
      <c r="T35" s="9" t="str">
        <f aca="false">IF(S35&gt;=0.3,"Alta",IF(S35&gt;=0.15,"Media","Baja"))</f>
        <v>Alta</v>
      </c>
      <c r="U35" s="9" t="str">
        <f aca="false">IF(P35&gt;=10000,"Grande",IF(P35&gt;=5000,"Mediana","Pequeña"))</f>
        <v>Mediana</v>
      </c>
      <c r="V35" s="9" t="str">
        <f aca="false">IF(AND(O35="Estratégico",S35&gt;=0.3),"Alta",IF(AND(O35="Estratégico",S35&lt;0.3),"Media",IF(AND(O35="Potencial",S35&gt;=0.3),"Media","Baja")))</f>
        <v>Alta</v>
      </c>
    </row>
    <row r="36" customFormat="false" ht="14.25" hidden="false" customHeight="true" outlineLevel="0" collapsed="false">
      <c r="B36" s="5" t="s">
        <v>71</v>
      </c>
      <c r="C36" s="6" t="n">
        <v>46301</v>
      </c>
      <c r="D36" s="5" t="s">
        <v>32</v>
      </c>
      <c r="E36" s="7" t="s">
        <v>28</v>
      </c>
      <c r="F36" s="5" t="s">
        <v>34</v>
      </c>
      <c r="G36" s="5" t="n">
        <v>950</v>
      </c>
      <c r="H36" s="5" t="n">
        <v>6.5</v>
      </c>
      <c r="I36" s="5" t="n">
        <v>4.1</v>
      </c>
      <c r="J36" s="8" t="s">
        <v>25</v>
      </c>
      <c r="K36" s="9" t="str">
        <f aca="false">VLOOKUP(E36,'2. Productos'!$C$4:$F$8,2,FALSE())</f>
        <v>Café especial</v>
      </c>
      <c r="L36" s="9" t="str">
        <f aca="false">VLOOKUP(E36,'2. Productos'!$C$4:$F$8,3,FALSE())</f>
        <v>Café</v>
      </c>
      <c r="M36" s="9" t="str">
        <f aca="false">VLOOKUP(F36,'3. Mercados'!$C$4:$F$9,2,FALSE())</f>
        <v>Centroamérica</v>
      </c>
      <c r="N36" s="10" t="n">
        <f aca="false">VLOOKUP(F36,'3. Mercados'!$C$4:$F$9,3,FALSE())</f>
        <v>0.02</v>
      </c>
      <c r="O36" s="9" t="str">
        <f aca="false">VLOOKUP(F36,'3. Mercados'!$C$4:$F$9,4,FALSE())</f>
        <v>Estratégico</v>
      </c>
      <c r="P36" s="11" t="n">
        <f aca="false">G36*H36</f>
        <v>6175</v>
      </c>
      <c r="Q36" s="11" t="n">
        <f aca="false">G36*I36</f>
        <v>3895</v>
      </c>
      <c r="R36" s="11" t="n">
        <f aca="false">P36-Q36</f>
        <v>2280</v>
      </c>
      <c r="S36" s="12" t="n">
        <f aca="false">R36/P36</f>
        <v>0.369230769230769</v>
      </c>
      <c r="T36" s="9" t="str">
        <f aca="false">IF(S36&gt;=0.3,"Alta",IF(S36&gt;=0.15,"Media","Baja"))</f>
        <v>Alta</v>
      </c>
      <c r="U36" s="9" t="str">
        <f aca="false">IF(P36&gt;=10000,"Grande",IF(P36&gt;=5000,"Mediana","Pequeña"))</f>
        <v>Mediana</v>
      </c>
      <c r="V36" s="9" t="str">
        <f aca="false">IF(AND(O36="Estratégico",S36&gt;=0.3),"Alta",IF(AND(O36="Estratégico",S36&lt;0.3),"Media",IF(AND(O36="Potencial",S36&gt;=0.3),"Media","Baja")))</f>
        <v>Alta</v>
      </c>
    </row>
    <row r="37" customFormat="false" ht="14.25" hidden="false" customHeight="true" outlineLevel="0" collapsed="false">
      <c r="B37" s="5" t="s">
        <v>72</v>
      </c>
      <c r="C37" s="6" t="n">
        <v>46309</v>
      </c>
      <c r="D37" s="5" t="s">
        <v>36</v>
      </c>
      <c r="E37" s="7" t="s">
        <v>37</v>
      </c>
      <c r="F37" s="5" t="s">
        <v>38</v>
      </c>
      <c r="G37" s="5" t="n">
        <v>1050</v>
      </c>
      <c r="H37" s="5" t="n">
        <v>7.1</v>
      </c>
      <c r="I37" s="5" t="n">
        <v>4.8</v>
      </c>
      <c r="J37" s="8" t="s">
        <v>30</v>
      </c>
      <c r="K37" s="9" t="str">
        <f aca="false">VLOOKUP(E37,'2. Productos'!$C$4:$F$8,2,FALSE())</f>
        <v>Cacao en grano</v>
      </c>
      <c r="L37" s="9" t="str">
        <f aca="false">VLOOKUP(E37,'2. Productos'!$C$4:$F$8,3,FALSE())</f>
        <v>Cacao</v>
      </c>
      <c r="M37" s="9" t="str">
        <f aca="false">VLOOKUP(F37,'3. Mercados'!$C$4:$F$9,2,FALSE())</f>
        <v>Europa</v>
      </c>
      <c r="N37" s="10" t="n">
        <f aca="false">VLOOKUP(F37,'3. Mercados'!$C$4:$F$9,3,FALSE())</f>
        <v>0.1</v>
      </c>
      <c r="O37" s="9" t="str">
        <f aca="false">VLOOKUP(F37,'3. Mercados'!$C$4:$F$9,4,FALSE())</f>
        <v>Potencial</v>
      </c>
      <c r="P37" s="11" t="n">
        <f aca="false">G37*H37</f>
        <v>7455</v>
      </c>
      <c r="Q37" s="11" t="n">
        <f aca="false">G37*I37</f>
        <v>5040</v>
      </c>
      <c r="R37" s="11" t="n">
        <f aca="false">P37-Q37</f>
        <v>2415</v>
      </c>
      <c r="S37" s="12" t="n">
        <f aca="false">R37/P37</f>
        <v>0.323943661971831</v>
      </c>
      <c r="T37" s="9" t="str">
        <f aca="false">IF(S37&gt;=0.3,"Alta",IF(S37&gt;=0.15,"Media","Baja"))</f>
        <v>Alta</v>
      </c>
      <c r="U37" s="9" t="str">
        <f aca="false">IF(P37&gt;=10000,"Grande",IF(P37&gt;=5000,"Mediana","Pequeña"))</f>
        <v>Mediana</v>
      </c>
      <c r="V37" s="9" t="str">
        <f aca="false">IF(AND(O37="Estratégico",S37&gt;=0.3),"Alta",IF(AND(O37="Estratégico",S37&lt;0.3),"Media",IF(AND(O37="Potencial",S37&gt;=0.3),"Media","Baja")))</f>
        <v>Media</v>
      </c>
    </row>
    <row r="38" customFormat="false" ht="14.25" hidden="false" customHeight="true" outlineLevel="0" collapsed="false">
      <c r="B38" s="5" t="s">
        <v>73</v>
      </c>
      <c r="C38" s="6" t="n">
        <v>46317</v>
      </c>
      <c r="D38" s="5" t="s">
        <v>41</v>
      </c>
      <c r="E38" s="7" t="s">
        <v>23</v>
      </c>
      <c r="F38" s="5" t="s">
        <v>43</v>
      </c>
      <c r="G38" s="5" t="n">
        <v>750</v>
      </c>
      <c r="H38" s="5" t="n">
        <v>4.8</v>
      </c>
      <c r="I38" s="5" t="n">
        <v>3.2</v>
      </c>
      <c r="J38" s="8" t="s">
        <v>25</v>
      </c>
      <c r="K38" s="9" t="str">
        <f aca="false">VLOOKUP(E38,'2. Productos'!$C$4:$F$8,2,FALSE())</f>
        <v>Miel natural</v>
      </c>
      <c r="L38" s="9" t="str">
        <f aca="false">VLOOKUP(E38,'2. Productos'!$C$4:$F$8,3,FALSE())</f>
        <v>Apícola</v>
      </c>
      <c r="M38" s="9" t="str">
        <f aca="false">VLOOKUP(F38,'3. Mercados'!$C$4:$F$9,2,FALSE())</f>
        <v>Norteamérica</v>
      </c>
      <c r="N38" s="10" t="n">
        <f aca="false">VLOOKUP(F38,'3. Mercados'!$C$4:$F$9,3,FALSE())</f>
        <v>0.08</v>
      </c>
      <c r="O38" s="9" t="str">
        <f aca="false">VLOOKUP(F38,'3. Mercados'!$C$4:$F$9,4,FALSE())</f>
        <v>Potencial</v>
      </c>
      <c r="P38" s="11" t="n">
        <f aca="false">G38*H38</f>
        <v>3600</v>
      </c>
      <c r="Q38" s="11" t="n">
        <f aca="false">G38*I38</f>
        <v>2400</v>
      </c>
      <c r="R38" s="11" t="n">
        <f aca="false">P38-Q38</f>
        <v>1200</v>
      </c>
      <c r="S38" s="12" t="n">
        <f aca="false">R38/P38</f>
        <v>0.333333333333333</v>
      </c>
      <c r="T38" s="9" t="str">
        <f aca="false">IF(S38&gt;=0.3,"Alta",IF(S38&gt;=0.15,"Media","Baja"))</f>
        <v>Alta</v>
      </c>
      <c r="U38" s="9" t="str">
        <f aca="false">IF(P38&gt;=10000,"Grande",IF(P38&gt;=5000,"Mediana","Pequeña"))</f>
        <v>Pequeña</v>
      </c>
      <c r="V38" s="9" t="str">
        <f aca="false">IF(AND(O38="Estratégico",S38&gt;=0.3),"Alta",IF(AND(O38="Estratégico",S38&lt;0.3),"Media",IF(AND(O38="Potencial",S38&gt;=0.3),"Media","Baja")))</f>
        <v>Media</v>
      </c>
    </row>
    <row r="39" customFormat="false" ht="14.25" hidden="false" customHeight="true" outlineLevel="0" collapsed="false">
      <c r="B39" s="5" t="s">
        <v>74</v>
      </c>
      <c r="C39" s="6" t="n">
        <v>46325</v>
      </c>
      <c r="D39" s="5" t="s">
        <v>27</v>
      </c>
      <c r="E39" s="7" t="s">
        <v>33</v>
      </c>
      <c r="F39" s="5" t="s">
        <v>29</v>
      </c>
      <c r="G39" s="5" t="n">
        <v>900</v>
      </c>
      <c r="H39" s="5" t="n">
        <v>8.2</v>
      </c>
      <c r="I39" s="5" t="n">
        <v>5.9</v>
      </c>
      <c r="J39" s="8" t="s">
        <v>30</v>
      </c>
      <c r="K39" s="9" t="str">
        <f aca="false">VLOOKUP(E39,'2. Productos'!$C$4:$F$8,2,FALSE())</f>
        <v>Maní procesado</v>
      </c>
      <c r="L39" s="9" t="str">
        <f aca="false">VLOOKUP(E39,'2. Productos'!$C$4:$F$8,3,FALSE())</f>
        <v>Semillas</v>
      </c>
      <c r="M39" s="9" t="str">
        <f aca="false">VLOOKUP(F39,'3. Mercados'!$C$4:$F$9,2,FALSE())</f>
        <v>Norteamérica</v>
      </c>
      <c r="N39" s="10" t="n">
        <f aca="false">VLOOKUP(F39,'3. Mercados'!$C$4:$F$9,3,FALSE())</f>
        <v>0.05</v>
      </c>
      <c r="O39" s="9" t="str">
        <f aca="false">VLOOKUP(F39,'3. Mercados'!$C$4:$F$9,4,FALSE())</f>
        <v>Estratégico</v>
      </c>
      <c r="P39" s="11" t="n">
        <f aca="false">G39*H39</f>
        <v>7380</v>
      </c>
      <c r="Q39" s="11" t="n">
        <f aca="false">G39*I39</f>
        <v>5310</v>
      </c>
      <c r="R39" s="11" t="n">
        <f aca="false">P39-Q39</f>
        <v>2070</v>
      </c>
      <c r="S39" s="12" t="n">
        <f aca="false">R39/P39</f>
        <v>0.280487804878049</v>
      </c>
      <c r="T39" s="9" t="str">
        <f aca="false">IF(S39&gt;=0.3,"Alta",IF(S39&gt;=0.15,"Media","Baja"))</f>
        <v>Media</v>
      </c>
      <c r="U39" s="9" t="str">
        <f aca="false">IF(P39&gt;=10000,"Grande",IF(P39&gt;=5000,"Mediana","Pequeña"))</f>
        <v>Mediana</v>
      </c>
      <c r="V39" s="9" t="str">
        <f aca="false">IF(AND(O39="Estratégico",S39&gt;=0.3),"Alta",IF(AND(O39="Estratégico",S39&lt;0.3),"Media",IF(AND(O39="Potencial",S39&gt;=0.3),"Media","Baja")))</f>
        <v>Media</v>
      </c>
    </row>
    <row r="40" customFormat="false" ht="14.25" hidden="false" customHeight="true" outlineLevel="0" collapsed="false">
      <c r="B40" s="5" t="s">
        <v>75</v>
      </c>
      <c r="C40" s="6" t="n">
        <v>46333</v>
      </c>
      <c r="D40" s="5" t="s">
        <v>22</v>
      </c>
      <c r="E40" s="7" t="s">
        <v>28</v>
      </c>
      <c r="F40" s="5" t="s">
        <v>24</v>
      </c>
      <c r="G40" s="5" t="n">
        <v>1150</v>
      </c>
      <c r="H40" s="5" t="n">
        <v>6.5</v>
      </c>
      <c r="I40" s="5" t="n">
        <v>4.1</v>
      </c>
      <c r="J40" s="8" t="s">
        <v>30</v>
      </c>
      <c r="K40" s="9" t="str">
        <f aca="false">VLOOKUP(E40,'2. Productos'!$C$4:$F$8,2,FALSE())</f>
        <v>Café especial</v>
      </c>
      <c r="L40" s="9" t="str">
        <f aca="false">VLOOKUP(E40,'2. Productos'!$C$4:$F$8,3,FALSE())</f>
        <v>Café</v>
      </c>
      <c r="M40" s="9" t="str">
        <f aca="false">VLOOKUP(F40,'3. Mercados'!$C$4:$F$9,2,FALSE())</f>
        <v>Centroamérica</v>
      </c>
      <c r="N40" s="10" t="n">
        <f aca="false">VLOOKUP(F40,'3. Mercados'!$C$4:$F$9,3,FALSE())</f>
        <v>0.03</v>
      </c>
      <c r="O40" s="9" t="str">
        <f aca="false">VLOOKUP(F40,'3. Mercados'!$C$4:$F$9,4,FALSE())</f>
        <v>Estratégico</v>
      </c>
      <c r="P40" s="11" t="n">
        <f aca="false">G40*H40</f>
        <v>7475</v>
      </c>
      <c r="Q40" s="11" t="n">
        <f aca="false">G40*I40</f>
        <v>4715</v>
      </c>
      <c r="R40" s="11" t="n">
        <f aca="false">P40-Q40</f>
        <v>2760</v>
      </c>
      <c r="S40" s="12" t="n">
        <f aca="false">R40/P40</f>
        <v>0.369230769230769</v>
      </c>
      <c r="T40" s="9" t="str">
        <f aca="false">IF(S40&gt;=0.3,"Alta",IF(S40&gt;=0.15,"Media","Baja"))</f>
        <v>Alta</v>
      </c>
      <c r="U40" s="9" t="str">
        <f aca="false">IF(P40&gt;=10000,"Grande",IF(P40&gt;=5000,"Mediana","Pequeña"))</f>
        <v>Mediana</v>
      </c>
      <c r="V40" s="9" t="str">
        <f aca="false">IF(AND(O40="Estratégico",S40&gt;=0.3),"Alta",IF(AND(O40="Estratégico",S40&lt;0.3),"Media",IF(AND(O40="Potencial",S40&gt;=0.3),"Media","Baja")))</f>
        <v>Alta</v>
      </c>
    </row>
    <row r="41" customFormat="false" ht="14.25" hidden="false" customHeight="true" outlineLevel="0" collapsed="false">
      <c r="B41" s="5" t="s">
        <v>76</v>
      </c>
      <c r="C41" s="6" t="n">
        <v>46341</v>
      </c>
      <c r="D41" s="5" t="s">
        <v>32</v>
      </c>
      <c r="E41" s="7" t="s">
        <v>42</v>
      </c>
      <c r="F41" s="5" t="s">
        <v>34</v>
      </c>
      <c r="G41" s="5" t="n">
        <v>580</v>
      </c>
      <c r="H41" s="5" t="n">
        <v>12.5</v>
      </c>
      <c r="I41" s="5" t="n">
        <v>8.7</v>
      </c>
      <c r="J41" s="8" t="s">
        <v>25</v>
      </c>
      <c r="K41" s="9" t="str">
        <f aca="false">VLOOKUP(E41,'2. Productos'!$C$4:$F$8,2,FALSE())</f>
        <v>Aceite de ajonjolí</v>
      </c>
      <c r="L41" s="9" t="str">
        <f aca="false">VLOOKUP(E41,'2. Productos'!$C$4:$F$8,3,FALSE())</f>
        <v>Aceites</v>
      </c>
      <c r="M41" s="9" t="str">
        <f aca="false">VLOOKUP(F41,'3. Mercados'!$C$4:$F$9,2,FALSE())</f>
        <v>Centroamérica</v>
      </c>
      <c r="N41" s="10" t="n">
        <f aca="false">VLOOKUP(F41,'3. Mercados'!$C$4:$F$9,3,FALSE())</f>
        <v>0.02</v>
      </c>
      <c r="O41" s="9" t="str">
        <f aca="false">VLOOKUP(F41,'3. Mercados'!$C$4:$F$9,4,FALSE())</f>
        <v>Estratégico</v>
      </c>
      <c r="P41" s="11" t="n">
        <f aca="false">G41*H41</f>
        <v>7250</v>
      </c>
      <c r="Q41" s="11" t="n">
        <f aca="false">G41*I41</f>
        <v>5046</v>
      </c>
      <c r="R41" s="11" t="n">
        <f aca="false">P41-Q41</f>
        <v>2204</v>
      </c>
      <c r="S41" s="12" t="n">
        <f aca="false">R41/P41</f>
        <v>0.304</v>
      </c>
      <c r="T41" s="9" t="str">
        <f aca="false">IF(S41&gt;=0.3,"Alta",IF(S41&gt;=0.15,"Media","Baja"))</f>
        <v>Alta</v>
      </c>
      <c r="U41" s="9" t="str">
        <f aca="false">IF(P41&gt;=10000,"Grande",IF(P41&gt;=5000,"Mediana","Pequeña"))</f>
        <v>Mediana</v>
      </c>
      <c r="V41" s="9" t="str">
        <f aca="false">IF(AND(O41="Estratégico",S41&gt;=0.3),"Alta",IF(AND(O41="Estratégico",S41&lt;0.3),"Media",IF(AND(O41="Potencial",S41&gt;=0.3),"Media","Baja")))</f>
        <v>Alta</v>
      </c>
    </row>
    <row r="42" customFormat="false" ht="14.25" hidden="false" customHeight="true" outlineLevel="0" collapsed="false">
      <c r="B42" s="5" t="s">
        <v>77</v>
      </c>
      <c r="C42" s="6" t="n">
        <v>46349</v>
      </c>
      <c r="D42" s="5" t="s">
        <v>36</v>
      </c>
      <c r="E42" s="7" t="s">
        <v>23</v>
      </c>
      <c r="F42" s="5" t="s">
        <v>38</v>
      </c>
      <c r="G42" s="5" t="n">
        <v>1300</v>
      </c>
      <c r="H42" s="5" t="n">
        <v>4.8</v>
      </c>
      <c r="I42" s="5" t="n">
        <v>3.2</v>
      </c>
      <c r="J42" s="8" t="s">
        <v>39</v>
      </c>
      <c r="K42" s="9" t="str">
        <f aca="false">VLOOKUP(E42,'2. Productos'!$C$4:$F$8,2,FALSE())</f>
        <v>Miel natural</v>
      </c>
      <c r="L42" s="9" t="str">
        <f aca="false">VLOOKUP(E42,'2. Productos'!$C$4:$F$8,3,FALSE())</f>
        <v>Apícola</v>
      </c>
      <c r="M42" s="9" t="str">
        <f aca="false">VLOOKUP(F42,'3. Mercados'!$C$4:$F$9,2,FALSE())</f>
        <v>Europa</v>
      </c>
      <c r="N42" s="10" t="n">
        <f aca="false">VLOOKUP(F42,'3. Mercados'!$C$4:$F$9,3,FALSE())</f>
        <v>0.1</v>
      </c>
      <c r="O42" s="9" t="str">
        <f aca="false">VLOOKUP(F42,'3. Mercados'!$C$4:$F$9,4,FALSE())</f>
        <v>Potencial</v>
      </c>
      <c r="P42" s="11" t="n">
        <f aca="false">G42*H42</f>
        <v>6240</v>
      </c>
      <c r="Q42" s="11" t="n">
        <f aca="false">G42*I42</f>
        <v>4160</v>
      </c>
      <c r="R42" s="11" t="n">
        <f aca="false">P42-Q42</f>
        <v>2080</v>
      </c>
      <c r="S42" s="12" t="n">
        <f aca="false">R42/P42</f>
        <v>0.333333333333333</v>
      </c>
      <c r="T42" s="9" t="str">
        <f aca="false">IF(S42&gt;=0.3,"Alta",IF(S42&gt;=0.15,"Media","Baja"))</f>
        <v>Alta</v>
      </c>
      <c r="U42" s="9" t="str">
        <f aca="false">IF(P42&gt;=10000,"Grande",IF(P42&gt;=5000,"Mediana","Pequeña"))</f>
        <v>Mediana</v>
      </c>
      <c r="V42" s="9" t="str">
        <f aca="false">IF(AND(O42="Estratégico",S42&gt;=0.3),"Alta",IF(AND(O42="Estratégico",S42&lt;0.3),"Media",IF(AND(O42="Potencial",S42&gt;=0.3),"Media","Baja")))</f>
        <v>Media</v>
      </c>
    </row>
    <row r="43" customFormat="false" ht="14.25" hidden="false" customHeight="true" outlineLevel="0" collapsed="false">
      <c r="B43" s="5" t="s">
        <v>78</v>
      </c>
      <c r="C43" s="6" t="n">
        <v>46357</v>
      </c>
      <c r="D43" s="5" t="s">
        <v>41</v>
      </c>
      <c r="E43" s="7" t="s">
        <v>37</v>
      </c>
      <c r="F43" s="5" t="s">
        <v>43</v>
      </c>
      <c r="G43" s="5" t="n">
        <v>900</v>
      </c>
      <c r="H43" s="5" t="n">
        <v>7.1</v>
      </c>
      <c r="I43" s="5" t="n">
        <v>4.8</v>
      </c>
      <c r="J43" s="8" t="s">
        <v>30</v>
      </c>
      <c r="K43" s="9" t="str">
        <f aca="false">VLOOKUP(E43,'2. Productos'!$C$4:$F$8,2,FALSE())</f>
        <v>Cacao en grano</v>
      </c>
      <c r="L43" s="9" t="str">
        <f aca="false">VLOOKUP(E43,'2. Productos'!$C$4:$F$8,3,FALSE())</f>
        <v>Cacao</v>
      </c>
      <c r="M43" s="9" t="str">
        <f aca="false">VLOOKUP(F43,'3. Mercados'!$C$4:$F$9,2,FALSE())</f>
        <v>Norteamérica</v>
      </c>
      <c r="N43" s="10" t="n">
        <f aca="false">VLOOKUP(F43,'3. Mercados'!$C$4:$F$9,3,FALSE())</f>
        <v>0.08</v>
      </c>
      <c r="O43" s="9" t="str">
        <f aca="false">VLOOKUP(F43,'3. Mercados'!$C$4:$F$9,4,FALSE())</f>
        <v>Potencial</v>
      </c>
      <c r="P43" s="11" t="n">
        <f aca="false">G43*H43</f>
        <v>6390</v>
      </c>
      <c r="Q43" s="11" t="n">
        <f aca="false">G43*I43</f>
        <v>4320</v>
      </c>
      <c r="R43" s="11" t="n">
        <f aca="false">P43-Q43</f>
        <v>2070</v>
      </c>
      <c r="S43" s="12" t="n">
        <f aca="false">R43/P43</f>
        <v>0.323943661971831</v>
      </c>
      <c r="T43" s="9" t="str">
        <f aca="false">IF(S43&gt;=0.3,"Alta",IF(S43&gt;=0.15,"Media","Baja"))</f>
        <v>Alta</v>
      </c>
      <c r="U43" s="9" t="str">
        <f aca="false">IF(P43&gt;=10000,"Grande",IF(P43&gt;=5000,"Mediana","Pequeña"))</f>
        <v>Mediana</v>
      </c>
      <c r="V43" s="9" t="str">
        <f aca="false">IF(AND(O43="Estratégico",S43&gt;=0.3),"Alta",IF(AND(O43="Estratégico",S43&lt;0.3),"Media",IF(AND(O43="Potencial",S43&gt;=0.3),"Media","Baja")))</f>
        <v>Media</v>
      </c>
    </row>
    <row r="44" customFormat="false" ht="14.25" hidden="false" customHeight="true" outlineLevel="0" collapsed="false">
      <c r="B44" s="5" t="s">
        <v>79</v>
      </c>
      <c r="C44" s="6" t="n">
        <v>46364</v>
      </c>
      <c r="D44" s="5" t="s">
        <v>27</v>
      </c>
      <c r="E44" s="7" t="s">
        <v>28</v>
      </c>
      <c r="F44" s="5" t="s">
        <v>29</v>
      </c>
      <c r="G44" s="5" t="n">
        <v>1400</v>
      </c>
      <c r="H44" s="5" t="n">
        <v>6.5</v>
      </c>
      <c r="I44" s="5" t="n">
        <v>4.1</v>
      </c>
      <c r="J44" s="8" t="s">
        <v>25</v>
      </c>
      <c r="K44" s="9" t="str">
        <f aca="false">VLOOKUP(E44,'2. Productos'!$C$4:$F$8,2,FALSE())</f>
        <v>Café especial</v>
      </c>
      <c r="L44" s="9" t="str">
        <f aca="false">VLOOKUP(E44,'2. Productos'!$C$4:$F$8,3,FALSE())</f>
        <v>Café</v>
      </c>
      <c r="M44" s="9" t="str">
        <f aca="false">VLOOKUP(F44,'3. Mercados'!$C$4:$F$9,2,FALSE())</f>
        <v>Norteamérica</v>
      </c>
      <c r="N44" s="10" t="n">
        <f aca="false">VLOOKUP(F44,'3. Mercados'!$C$4:$F$9,3,FALSE())</f>
        <v>0.05</v>
      </c>
      <c r="O44" s="9" t="str">
        <f aca="false">VLOOKUP(F44,'3. Mercados'!$C$4:$F$9,4,FALSE())</f>
        <v>Estratégico</v>
      </c>
      <c r="P44" s="11" t="n">
        <f aca="false">G44*H44</f>
        <v>9100</v>
      </c>
      <c r="Q44" s="11" t="n">
        <f aca="false">G44*I44</f>
        <v>5740</v>
      </c>
      <c r="R44" s="11" t="n">
        <f aca="false">P44-Q44</f>
        <v>3360</v>
      </c>
      <c r="S44" s="12" t="n">
        <f aca="false">R44/P44</f>
        <v>0.369230769230769</v>
      </c>
      <c r="T44" s="9" t="str">
        <f aca="false">IF(S44&gt;=0.3,"Alta",IF(S44&gt;=0.15,"Media","Baja"))</f>
        <v>Alta</v>
      </c>
      <c r="U44" s="9" t="str">
        <f aca="false">IF(P44&gt;=10000,"Grande",IF(P44&gt;=5000,"Mediana","Pequeña"))</f>
        <v>Mediana</v>
      </c>
      <c r="V44" s="9" t="str">
        <f aca="false">IF(AND(O44="Estratégico",S44&gt;=0.3),"Alta",IF(AND(O44="Estratégico",S44&lt;0.3),"Media",IF(AND(O44="Potencial",S44&gt;=0.3),"Media","Baja")))</f>
        <v>Alta</v>
      </c>
    </row>
    <row r="45" customFormat="false" ht="14.25" hidden="false" customHeight="true" outlineLevel="0" collapsed="false">
      <c r="B45" s="5" t="s">
        <v>80</v>
      </c>
      <c r="C45" s="6" t="n">
        <v>46371</v>
      </c>
      <c r="D45" s="5" t="s">
        <v>22</v>
      </c>
      <c r="E45" s="7" t="s">
        <v>33</v>
      </c>
      <c r="F45" s="5" t="s">
        <v>24</v>
      </c>
      <c r="G45" s="5" t="n">
        <v>800</v>
      </c>
      <c r="H45" s="5" t="n">
        <v>8.2</v>
      </c>
      <c r="I45" s="5" t="n">
        <v>5.9</v>
      </c>
      <c r="J45" s="8" t="s">
        <v>30</v>
      </c>
      <c r="K45" s="9" t="str">
        <f aca="false">VLOOKUP(E45,'2. Productos'!$C$4:$F$8,2,FALSE())</f>
        <v>Maní procesado</v>
      </c>
      <c r="L45" s="9" t="str">
        <f aca="false">VLOOKUP(E45,'2. Productos'!$C$4:$F$8,3,FALSE())</f>
        <v>Semillas</v>
      </c>
      <c r="M45" s="9" t="str">
        <f aca="false">VLOOKUP(F45,'3. Mercados'!$C$4:$F$9,2,FALSE())</f>
        <v>Centroamérica</v>
      </c>
      <c r="N45" s="10" t="n">
        <f aca="false">VLOOKUP(F45,'3. Mercados'!$C$4:$F$9,3,FALSE())</f>
        <v>0.03</v>
      </c>
      <c r="O45" s="9" t="str">
        <f aca="false">VLOOKUP(F45,'3. Mercados'!$C$4:$F$9,4,FALSE())</f>
        <v>Estratégico</v>
      </c>
      <c r="P45" s="11" t="n">
        <f aca="false">G45*H45</f>
        <v>6560</v>
      </c>
      <c r="Q45" s="11" t="n">
        <f aca="false">G45*I45</f>
        <v>4720</v>
      </c>
      <c r="R45" s="11" t="n">
        <f aca="false">P45-Q45</f>
        <v>1840</v>
      </c>
      <c r="S45" s="12" t="n">
        <f aca="false">R45/P45</f>
        <v>0.280487804878049</v>
      </c>
      <c r="T45" s="9" t="str">
        <f aca="false">IF(S45&gt;=0.3,"Alta",IF(S45&gt;=0.15,"Media","Baja"))</f>
        <v>Media</v>
      </c>
      <c r="U45" s="9" t="str">
        <f aca="false">IF(P45&gt;=10000,"Grande",IF(P45&gt;=5000,"Mediana","Pequeña"))</f>
        <v>Mediana</v>
      </c>
      <c r="V45" s="9" t="str">
        <f aca="false">IF(AND(O45="Estratégico",S45&gt;=0.3),"Alta",IF(AND(O45="Estratégico",S45&lt;0.3),"Media",IF(AND(O45="Potencial",S45&gt;=0.3),"Media","Baja")))</f>
        <v>Media</v>
      </c>
    </row>
    <row r="46" customFormat="false" ht="14.25" hidden="false" customHeight="true" outlineLevel="0" collapsed="false">
      <c r="B46" s="5" t="s">
        <v>81</v>
      </c>
      <c r="C46" s="6" t="n">
        <v>46378</v>
      </c>
      <c r="D46" s="5" t="s">
        <v>32</v>
      </c>
      <c r="E46" s="7" t="s">
        <v>23</v>
      </c>
      <c r="F46" s="5" t="s">
        <v>34</v>
      </c>
      <c r="G46" s="5" t="n">
        <v>1000</v>
      </c>
      <c r="H46" s="5" t="n">
        <v>4.8</v>
      </c>
      <c r="I46" s="5" t="n">
        <v>3.2</v>
      </c>
      <c r="J46" s="8" t="s">
        <v>30</v>
      </c>
      <c r="K46" s="9" t="str">
        <f aca="false">VLOOKUP(E46,'2. Productos'!$C$4:$F$8,2,FALSE())</f>
        <v>Miel natural</v>
      </c>
      <c r="L46" s="9" t="str">
        <f aca="false">VLOOKUP(E46,'2. Productos'!$C$4:$F$8,3,FALSE())</f>
        <v>Apícola</v>
      </c>
      <c r="M46" s="9" t="str">
        <f aca="false">VLOOKUP(F46,'3. Mercados'!$C$4:$F$9,2,FALSE())</f>
        <v>Centroamérica</v>
      </c>
      <c r="N46" s="10" t="n">
        <f aca="false">VLOOKUP(F46,'3. Mercados'!$C$4:$F$9,3,FALSE())</f>
        <v>0.02</v>
      </c>
      <c r="O46" s="9" t="str">
        <f aca="false">VLOOKUP(F46,'3. Mercados'!$C$4:$F$9,4,FALSE())</f>
        <v>Estratégico</v>
      </c>
      <c r="P46" s="11" t="n">
        <f aca="false">G46*H46</f>
        <v>4800</v>
      </c>
      <c r="Q46" s="11" t="n">
        <f aca="false">G46*I46</f>
        <v>3200</v>
      </c>
      <c r="R46" s="11" t="n">
        <f aca="false">P46-Q46</f>
        <v>1600</v>
      </c>
      <c r="S46" s="12" t="n">
        <f aca="false">R46/P46</f>
        <v>0.333333333333333</v>
      </c>
      <c r="T46" s="9" t="str">
        <f aca="false">IF(S46&gt;=0.3,"Alta",IF(S46&gt;=0.15,"Media","Baja"))</f>
        <v>Alta</v>
      </c>
      <c r="U46" s="9" t="str">
        <f aca="false">IF(P46&gt;=10000,"Grande",IF(P46&gt;=5000,"Mediana","Pequeña"))</f>
        <v>Pequeña</v>
      </c>
      <c r="V46" s="9" t="str">
        <f aca="false">IF(AND(O46="Estratégico",S46&gt;=0.3),"Alta",IF(AND(O46="Estratégico",S46&lt;0.3),"Media",IF(AND(O46="Potencial",S46&gt;=0.3),"Media","Baja")))</f>
        <v>Alta</v>
      </c>
    </row>
    <row r="47" customFormat="false" ht="14.25" hidden="false" customHeight="true" outlineLevel="0" collapsed="false">
      <c r="B47" s="5" t="s">
        <v>82</v>
      </c>
      <c r="C47" s="6" t="n">
        <v>46384</v>
      </c>
      <c r="D47" s="5" t="s">
        <v>36</v>
      </c>
      <c r="E47" s="7" t="s">
        <v>42</v>
      </c>
      <c r="F47" s="5" t="s">
        <v>38</v>
      </c>
      <c r="G47" s="5" t="n">
        <v>650</v>
      </c>
      <c r="H47" s="5" t="n">
        <v>12.5</v>
      </c>
      <c r="I47" s="5" t="n">
        <v>8.7</v>
      </c>
      <c r="J47" s="8" t="s">
        <v>25</v>
      </c>
      <c r="K47" s="9" t="str">
        <f aca="false">VLOOKUP(E47,'2. Productos'!$C$4:$F$8,2,FALSE())</f>
        <v>Aceite de ajonjolí</v>
      </c>
      <c r="L47" s="9" t="str">
        <f aca="false">VLOOKUP(E47,'2. Productos'!$C$4:$F$8,3,FALSE())</f>
        <v>Aceites</v>
      </c>
      <c r="M47" s="9" t="str">
        <f aca="false">VLOOKUP(F47,'3. Mercados'!$C$4:$F$9,2,FALSE())</f>
        <v>Europa</v>
      </c>
      <c r="N47" s="10" t="n">
        <f aca="false">VLOOKUP(F47,'3. Mercados'!$C$4:$F$9,3,FALSE())</f>
        <v>0.1</v>
      </c>
      <c r="O47" s="9" t="str">
        <f aca="false">VLOOKUP(F47,'3. Mercados'!$C$4:$F$9,4,FALSE())</f>
        <v>Potencial</v>
      </c>
      <c r="P47" s="11" t="n">
        <f aca="false">G47*H47</f>
        <v>8125</v>
      </c>
      <c r="Q47" s="11" t="n">
        <f aca="false">G47*I47</f>
        <v>5655</v>
      </c>
      <c r="R47" s="11" t="n">
        <f aca="false">P47-Q47</f>
        <v>2470</v>
      </c>
      <c r="S47" s="12" t="n">
        <f aca="false">R47/P47</f>
        <v>0.304</v>
      </c>
      <c r="T47" s="9" t="str">
        <f aca="false">IF(S47&gt;=0.3,"Alta",IF(S47&gt;=0.15,"Media","Baja"))</f>
        <v>Alta</v>
      </c>
      <c r="U47" s="9" t="str">
        <f aca="false">IF(P47&gt;=10000,"Grande",IF(P47&gt;=5000,"Mediana","Pequeña"))</f>
        <v>Mediana</v>
      </c>
      <c r="V47" s="9" t="str">
        <f aca="false">IF(AND(O47="Estratégico",S47&gt;=0.3),"Alta",IF(AND(O47="Estratégico",S47&lt;0.3),"Media",IF(AND(O47="Potencial",S47&gt;=0.3),"Media","Baja")))</f>
        <v>Media</v>
      </c>
    </row>
    <row r="48" customFormat="false" ht="14.25" hidden="false" customHeight="true" outlineLevel="0" collapsed="false">
      <c r="B48" s="5" t="s">
        <v>83</v>
      </c>
      <c r="C48" s="6" t="n">
        <v>46026</v>
      </c>
      <c r="D48" s="5" t="s">
        <v>41</v>
      </c>
      <c r="E48" s="7" t="s">
        <v>28</v>
      </c>
      <c r="F48" s="5" t="s">
        <v>43</v>
      </c>
      <c r="G48" s="5" t="n">
        <v>780</v>
      </c>
      <c r="H48" s="5" t="n">
        <v>6.5</v>
      </c>
      <c r="I48" s="5" t="n">
        <v>4.1</v>
      </c>
      <c r="J48" s="8" t="s">
        <v>30</v>
      </c>
      <c r="K48" s="9" t="str">
        <f aca="false">VLOOKUP(E48,'2. Productos'!$C$4:$F$8,2,FALSE())</f>
        <v>Café especial</v>
      </c>
      <c r="L48" s="9" t="str">
        <f aca="false">VLOOKUP(E48,'2. Productos'!$C$4:$F$8,3,FALSE())</f>
        <v>Café</v>
      </c>
      <c r="M48" s="9" t="str">
        <f aca="false">VLOOKUP(F48,'3. Mercados'!$C$4:$F$9,2,FALSE())</f>
        <v>Norteamérica</v>
      </c>
      <c r="N48" s="10" t="n">
        <f aca="false">VLOOKUP(F48,'3. Mercados'!$C$4:$F$9,3,FALSE())</f>
        <v>0.08</v>
      </c>
      <c r="O48" s="9" t="str">
        <f aca="false">VLOOKUP(F48,'3. Mercados'!$C$4:$F$9,4,FALSE())</f>
        <v>Potencial</v>
      </c>
      <c r="P48" s="11" t="n">
        <f aca="false">G48*H48</f>
        <v>5070</v>
      </c>
      <c r="Q48" s="11" t="n">
        <f aca="false">G48*I48</f>
        <v>3198</v>
      </c>
      <c r="R48" s="11" t="n">
        <f aca="false">P48-Q48</f>
        <v>1872</v>
      </c>
      <c r="S48" s="12" t="n">
        <f aca="false">R48/P48</f>
        <v>0.369230769230769</v>
      </c>
      <c r="T48" s="9" t="str">
        <f aca="false">IF(S48&gt;=0.3,"Alta",IF(S48&gt;=0.15,"Media","Baja"))</f>
        <v>Alta</v>
      </c>
      <c r="U48" s="9" t="str">
        <f aca="false">IF(P48&gt;=10000,"Grande",IF(P48&gt;=5000,"Mediana","Pequeña"))</f>
        <v>Mediana</v>
      </c>
      <c r="V48" s="9" t="str">
        <f aca="false">IF(AND(O48="Estratégico",S48&gt;=0.3),"Alta",IF(AND(O48="Estratégico",S48&lt;0.3),"Media",IF(AND(O48="Potencial",S48&gt;=0.3),"Media","Baja")))</f>
        <v>Media</v>
      </c>
    </row>
    <row r="49" customFormat="false" ht="14.25" hidden="false" customHeight="true" outlineLevel="0" collapsed="false">
      <c r="B49" s="5" t="s">
        <v>84</v>
      </c>
      <c r="C49" s="6" t="n">
        <v>46033</v>
      </c>
      <c r="D49" s="5" t="s">
        <v>27</v>
      </c>
      <c r="E49" s="7" t="s">
        <v>37</v>
      </c>
      <c r="F49" s="5" t="s">
        <v>29</v>
      </c>
      <c r="G49" s="5" t="n">
        <v>1180</v>
      </c>
      <c r="H49" s="5" t="n">
        <v>7.1</v>
      </c>
      <c r="I49" s="5" t="n">
        <v>4.8</v>
      </c>
      <c r="J49" s="8" t="s">
        <v>39</v>
      </c>
      <c r="K49" s="9" t="str">
        <f aca="false">VLOOKUP(E49,'2. Productos'!$C$4:$F$8,2,FALSE())</f>
        <v>Cacao en grano</v>
      </c>
      <c r="L49" s="9" t="str">
        <f aca="false">VLOOKUP(E49,'2. Productos'!$C$4:$F$8,3,FALSE())</f>
        <v>Cacao</v>
      </c>
      <c r="M49" s="9" t="str">
        <f aca="false">VLOOKUP(F49,'3. Mercados'!$C$4:$F$9,2,FALSE())</f>
        <v>Norteamérica</v>
      </c>
      <c r="N49" s="10" t="n">
        <f aca="false">VLOOKUP(F49,'3. Mercados'!$C$4:$F$9,3,FALSE())</f>
        <v>0.05</v>
      </c>
      <c r="O49" s="9" t="str">
        <f aca="false">VLOOKUP(F49,'3. Mercados'!$C$4:$F$9,4,FALSE())</f>
        <v>Estratégico</v>
      </c>
      <c r="P49" s="11" t="n">
        <f aca="false">G49*H49</f>
        <v>8378</v>
      </c>
      <c r="Q49" s="11" t="n">
        <f aca="false">G49*I49</f>
        <v>5664</v>
      </c>
      <c r="R49" s="11" t="n">
        <f aca="false">P49-Q49</f>
        <v>2714</v>
      </c>
      <c r="S49" s="12" t="n">
        <f aca="false">R49/P49</f>
        <v>0.323943661971831</v>
      </c>
      <c r="T49" s="9" t="str">
        <f aca="false">IF(S49&gt;=0.3,"Alta",IF(S49&gt;=0.15,"Media","Baja"))</f>
        <v>Alta</v>
      </c>
      <c r="U49" s="9" t="str">
        <f aca="false">IF(P49&gt;=10000,"Grande",IF(P49&gt;=5000,"Mediana","Pequeña"))</f>
        <v>Mediana</v>
      </c>
      <c r="V49" s="9" t="str">
        <f aca="false">IF(AND(O49="Estratégico",S49&gt;=0.3),"Alta",IF(AND(O49="Estratégico",S49&lt;0.3),"Media",IF(AND(O49="Potencial",S49&gt;=0.3),"Media","Baja")))</f>
        <v>Alta</v>
      </c>
    </row>
    <row r="50" customFormat="false" ht="14.25" hidden="false" customHeight="true" outlineLevel="0" collapsed="false">
      <c r="B50" s="5" t="s">
        <v>85</v>
      </c>
      <c r="C50" s="6" t="n">
        <v>46040</v>
      </c>
      <c r="D50" s="5" t="s">
        <v>22</v>
      </c>
      <c r="E50" s="7" t="s">
        <v>23</v>
      </c>
      <c r="F50" s="5" t="s">
        <v>24</v>
      </c>
      <c r="G50" s="5" t="n">
        <v>920</v>
      </c>
      <c r="H50" s="5" t="n">
        <v>4.8</v>
      </c>
      <c r="I50" s="5" t="n">
        <v>3.2</v>
      </c>
      <c r="J50" s="8" t="s">
        <v>25</v>
      </c>
      <c r="K50" s="9" t="str">
        <f aca="false">VLOOKUP(E50,'2. Productos'!$C$4:$F$8,2,FALSE())</f>
        <v>Miel natural</v>
      </c>
      <c r="L50" s="9" t="str">
        <f aca="false">VLOOKUP(E50,'2. Productos'!$C$4:$F$8,3,FALSE())</f>
        <v>Apícola</v>
      </c>
      <c r="M50" s="9" t="str">
        <f aca="false">VLOOKUP(F50,'3. Mercados'!$C$4:$F$9,2,FALSE())</f>
        <v>Centroamérica</v>
      </c>
      <c r="N50" s="10" t="n">
        <f aca="false">VLOOKUP(F50,'3. Mercados'!$C$4:$F$9,3,FALSE())</f>
        <v>0.03</v>
      </c>
      <c r="O50" s="9" t="str">
        <f aca="false">VLOOKUP(F50,'3. Mercados'!$C$4:$F$9,4,FALSE())</f>
        <v>Estratégico</v>
      </c>
      <c r="P50" s="11" t="n">
        <f aca="false">G50*H50</f>
        <v>4416</v>
      </c>
      <c r="Q50" s="11" t="n">
        <f aca="false">G50*I50</f>
        <v>2944</v>
      </c>
      <c r="R50" s="11" t="n">
        <f aca="false">P50-Q50</f>
        <v>1472</v>
      </c>
      <c r="S50" s="12" t="n">
        <f aca="false">R50/P50</f>
        <v>0.333333333333333</v>
      </c>
      <c r="T50" s="9" t="str">
        <f aca="false">IF(S50&gt;=0.3,"Alta",IF(S50&gt;=0.15,"Media","Baja"))</f>
        <v>Alta</v>
      </c>
      <c r="U50" s="9" t="str">
        <f aca="false">IF(P50&gt;=10000,"Grande",IF(P50&gt;=5000,"Mediana","Pequeña"))</f>
        <v>Pequeña</v>
      </c>
      <c r="V50" s="9" t="str">
        <f aca="false">IF(AND(O50="Estratégico",S50&gt;=0.3),"Alta",IF(AND(O50="Estratégico",S50&lt;0.3),"Media",IF(AND(O50="Potencial",S50&gt;=0.3),"Media","Baja")))</f>
        <v>Alta</v>
      </c>
    </row>
    <row r="51" customFormat="false" ht="14.25" hidden="false" customHeight="true" outlineLevel="0" collapsed="false">
      <c r="B51" s="5" t="s">
        <v>86</v>
      </c>
      <c r="C51" s="6" t="n">
        <v>46048</v>
      </c>
      <c r="D51" s="5" t="s">
        <v>32</v>
      </c>
      <c r="E51" s="7" t="s">
        <v>33</v>
      </c>
      <c r="F51" s="5" t="s">
        <v>34</v>
      </c>
      <c r="G51" s="5" t="n">
        <v>680</v>
      </c>
      <c r="H51" s="5" t="n">
        <v>8.2</v>
      </c>
      <c r="I51" s="5" t="n">
        <v>5.9</v>
      </c>
      <c r="J51" s="8" t="s">
        <v>30</v>
      </c>
      <c r="K51" s="9" t="str">
        <f aca="false">VLOOKUP(E51,'2. Productos'!$C$4:$F$8,2,FALSE())</f>
        <v>Maní procesado</v>
      </c>
      <c r="L51" s="9" t="str">
        <f aca="false">VLOOKUP(E51,'2. Productos'!$C$4:$F$8,3,FALSE())</f>
        <v>Semillas</v>
      </c>
      <c r="M51" s="9" t="str">
        <f aca="false">VLOOKUP(F51,'3. Mercados'!$C$4:$F$9,2,FALSE())</f>
        <v>Centroamérica</v>
      </c>
      <c r="N51" s="10" t="n">
        <f aca="false">VLOOKUP(F51,'3. Mercados'!$C$4:$F$9,3,FALSE())</f>
        <v>0.02</v>
      </c>
      <c r="O51" s="9" t="str">
        <f aca="false">VLOOKUP(F51,'3. Mercados'!$C$4:$F$9,4,FALSE())</f>
        <v>Estratégico</v>
      </c>
      <c r="P51" s="11" t="n">
        <f aca="false">G51*H51</f>
        <v>5576</v>
      </c>
      <c r="Q51" s="11" t="n">
        <f aca="false">G51*I51</f>
        <v>4012</v>
      </c>
      <c r="R51" s="11" t="n">
        <f aca="false">P51-Q51</f>
        <v>1564</v>
      </c>
      <c r="S51" s="12" t="n">
        <f aca="false">R51/P51</f>
        <v>0.280487804878049</v>
      </c>
      <c r="T51" s="9" t="str">
        <f aca="false">IF(S51&gt;=0.3,"Alta",IF(S51&gt;=0.15,"Media","Baja"))</f>
        <v>Media</v>
      </c>
      <c r="U51" s="9" t="str">
        <f aca="false">IF(P51&gt;=10000,"Grande",IF(P51&gt;=5000,"Mediana","Pequeña"))</f>
        <v>Mediana</v>
      </c>
      <c r="V51" s="9" t="str">
        <f aca="false">IF(AND(O51="Estratégico",S51&gt;=0.3),"Alta",IF(AND(O51="Estratégico",S51&lt;0.3),"Media",IF(AND(O51="Potencial",S51&gt;=0.3),"Media","Baja")))</f>
        <v>Media</v>
      </c>
    </row>
    <row r="52" customFormat="false" ht="14.25" hidden="false" customHeight="true" outlineLevel="0" collapsed="false">
      <c r="B52" s="5" t="s">
        <v>87</v>
      </c>
      <c r="C52" s="6" t="n">
        <v>46057</v>
      </c>
      <c r="D52" s="5" t="s">
        <v>36</v>
      </c>
      <c r="E52" s="7" t="s">
        <v>28</v>
      </c>
      <c r="F52" s="5" t="s">
        <v>38</v>
      </c>
      <c r="G52" s="5" t="n">
        <v>1080</v>
      </c>
      <c r="H52" s="5" t="n">
        <v>6.5</v>
      </c>
      <c r="I52" s="5" t="n">
        <v>4.1</v>
      </c>
      <c r="J52" s="8" t="s">
        <v>25</v>
      </c>
      <c r="K52" s="9" t="str">
        <f aca="false">VLOOKUP(E52,'2. Productos'!$C$4:$F$8,2,FALSE())</f>
        <v>Café especial</v>
      </c>
      <c r="L52" s="9" t="str">
        <f aca="false">VLOOKUP(E52,'2. Productos'!$C$4:$F$8,3,FALSE())</f>
        <v>Café</v>
      </c>
      <c r="M52" s="9" t="str">
        <f aca="false">VLOOKUP(F52,'3. Mercados'!$C$4:$F$9,2,FALSE())</f>
        <v>Europa</v>
      </c>
      <c r="N52" s="10" t="n">
        <f aca="false">VLOOKUP(F52,'3. Mercados'!$C$4:$F$9,3,FALSE())</f>
        <v>0.1</v>
      </c>
      <c r="O52" s="9" t="str">
        <f aca="false">VLOOKUP(F52,'3. Mercados'!$C$4:$F$9,4,FALSE())</f>
        <v>Potencial</v>
      </c>
      <c r="P52" s="11" t="n">
        <f aca="false">G52*H52</f>
        <v>7020</v>
      </c>
      <c r="Q52" s="11" t="n">
        <f aca="false">G52*I52</f>
        <v>4428</v>
      </c>
      <c r="R52" s="11" t="n">
        <f aca="false">P52-Q52</f>
        <v>2592</v>
      </c>
      <c r="S52" s="12" t="n">
        <f aca="false">R52/P52</f>
        <v>0.369230769230769</v>
      </c>
      <c r="T52" s="9" t="str">
        <f aca="false">IF(S52&gt;=0.3,"Alta",IF(S52&gt;=0.15,"Media","Baja"))</f>
        <v>Alta</v>
      </c>
      <c r="U52" s="9" t="str">
        <f aca="false">IF(P52&gt;=10000,"Grande",IF(P52&gt;=5000,"Mediana","Pequeña"))</f>
        <v>Mediana</v>
      </c>
      <c r="V52" s="9" t="str">
        <f aca="false">IF(AND(O52="Estratégico",S52&gt;=0.3),"Alta",IF(AND(O52="Estratégico",S52&lt;0.3),"Media",IF(AND(O52="Potencial",S52&gt;=0.3),"Media","Baja")))</f>
        <v>Media</v>
      </c>
    </row>
    <row r="53" customFormat="false" ht="14.25" hidden="false" customHeight="true" outlineLevel="0" collapsed="false">
      <c r="B53" s="5" t="s">
        <v>88</v>
      </c>
      <c r="C53" s="6" t="n">
        <v>46065</v>
      </c>
      <c r="D53" s="5" t="s">
        <v>41</v>
      </c>
      <c r="E53" s="7" t="s">
        <v>42</v>
      </c>
      <c r="F53" s="5" t="s">
        <v>43</v>
      </c>
      <c r="G53" s="5" t="n">
        <v>520</v>
      </c>
      <c r="H53" s="5" t="n">
        <v>12.5</v>
      </c>
      <c r="I53" s="5" t="n">
        <v>8.7</v>
      </c>
      <c r="J53" s="8" t="s">
        <v>30</v>
      </c>
      <c r="K53" s="9" t="str">
        <f aca="false">VLOOKUP(E53,'2. Productos'!$C$4:$F$8,2,FALSE())</f>
        <v>Aceite de ajonjolí</v>
      </c>
      <c r="L53" s="9" t="str">
        <f aca="false">VLOOKUP(E53,'2. Productos'!$C$4:$F$8,3,FALSE())</f>
        <v>Aceites</v>
      </c>
      <c r="M53" s="9" t="str">
        <f aca="false">VLOOKUP(F53,'3. Mercados'!$C$4:$F$9,2,FALSE())</f>
        <v>Norteamérica</v>
      </c>
      <c r="N53" s="10" t="n">
        <f aca="false">VLOOKUP(F53,'3. Mercados'!$C$4:$F$9,3,FALSE())</f>
        <v>0.08</v>
      </c>
      <c r="O53" s="9" t="str">
        <f aca="false">VLOOKUP(F53,'3. Mercados'!$C$4:$F$9,4,FALSE())</f>
        <v>Potencial</v>
      </c>
      <c r="P53" s="11" t="n">
        <f aca="false">G53*H53</f>
        <v>6500</v>
      </c>
      <c r="Q53" s="11" t="n">
        <f aca="false">G53*I53</f>
        <v>4524</v>
      </c>
      <c r="R53" s="11" t="n">
        <f aca="false">P53-Q53</f>
        <v>1976</v>
      </c>
      <c r="S53" s="12" t="n">
        <f aca="false">R53/P53</f>
        <v>0.304</v>
      </c>
      <c r="T53" s="9" t="str">
        <f aca="false">IF(S53&gt;=0.3,"Alta",IF(S53&gt;=0.15,"Media","Baja"))</f>
        <v>Alta</v>
      </c>
      <c r="U53" s="9" t="str">
        <f aca="false">IF(P53&gt;=10000,"Grande",IF(P53&gt;=5000,"Mediana","Pequeña"))</f>
        <v>Mediana</v>
      </c>
      <c r="V53" s="9" t="str">
        <f aca="false">IF(AND(O53="Estratégico",S53&gt;=0.3),"Alta",IF(AND(O53="Estratégico",S53&lt;0.3),"Media",IF(AND(O53="Potencial",S53&gt;=0.3),"Media","Baja")))</f>
        <v>Media</v>
      </c>
    </row>
    <row r="54" customFormat="false" ht="14.25" hidden="false" customHeight="true" outlineLevel="0" collapsed="false">
      <c r="B54" s="5" t="s">
        <v>89</v>
      </c>
      <c r="C54" s="6" t="n">
        <v>46074</v>
      </c>
      <c r="D54" s="5" t="s">
        <v>27</v>
      </c>
      <c r="E54" s="7" t="s">
        <v>23</v>
      </c>
      <c r="F54" s="5" t="s">
        <v>29</v>
      </c>
      <c r="G54" s="5" t="n">
        <v>1450</v>
      </c>
      <c r="H54" s="5" t="n">
        <v>4.8</v>
      </c>
      <c r="I54" s="5" t="n">
        <v>3.2</v>
      </c>
      <c r="J54" s="8" t="s">
        <v>30</v>
      </c>
      <c r="K54" s="9" t="str">
        <f aca="false">VLOOKUP(E54,'2. Productos'!$C$4:$F$8,2,FALSE())</f>
        <v>Miel natural</v>
      </c>
      <c r="L54" s="9" t="str">
        <f aca="false">VLOOKUP(E54,'2. Productos'!$C$4:$F$8,3,FALSE())</f>
        <v>Apícola</v>
      </c>
      <c r="M54" s="9" t="str">
        <f aca="false">VLOOKUP(F54,'3. Mercados'!$C$4:$F$9,2,FALSE())</f>
        <v>Norteamérica</v>
      </c>
      <c r="N54" s="10" t="n">
        <f aca="false">VLOOKUP(F54,'3. Mercados'!$C$4:$F$9,3,FALSE())</f>
        <v>0.05</v>
      </c>
      <c r="O54" s="9" t="str">
        <f aca="false">VLOOKUP(F54,'3. Mercados'!$C$4:$F$9,4,FALSE())</f>
        <v>Estratégico</v>
      </c>
      <c r="P54" s="11" t="n">
        <f aca="false">G54*H54</f>
        <v>6960</v>
      </c>
      <c r="Q54" s="11" t="n">
        <f aca="false">G54*I54</f>
        <v>4640</v>
      </c>
      <c r="R54" s="11" t="n">
        <f aca="false">P54-Q54</f>
        <v>2320</v>
      </c>
      <c r="S54" s="12" t="n">
        <f aca="false">R54/P54</f>
        <v>0.333333333333333</v>
      </c>
      <c r="T54" s="9" t="str">
        <f aca="false">IF(S54&gt;=0.3,"Alta",IF(S54&gt;=0.15,"Media","Baja"))</f>
        <v>Alta</v>
      </c>
      <c r="U54" s="9" t="str">
        <f aca="false">IF(P54&gt;=10000,"Grande",IF(P54&gt;=5000,"Mediana","Pequeña"))</f>
        <v>Mediana</v>
      </c>
      <c r="V54" s="9" t="str">
        <f aca="false">IF(AND(O54="Estratégico",S54&gt;=0.3),"Alta",IF(AND(O54="Estratégico",S54&lt;0.3),"Media",IF(AND(O54="Potencial",S54&gt;=0.3),"Media","Baja")))</f>
        <v>Alta</v>
      </c>
    </row>
    <row r="55" customFormat="false" ht="14.25" hidden="false" customHeight="true" outlineLevel="0" collapsed="false">
      <c r="B55" s="5" t="s">
        <v>90</v>
      </c>
      <c r="C55" s="6" t="n">
        <v>46082</v>
      </c>
      <c r="D55" s="5" t="s">
        <v>22</v>
      </c>
      <c r="E55" s="7" t="s">
        <v>37</v>
      </c>
      <c r="F55" s="5" t="s">
        <v>24</v>
      </c>
      <c r="G55" s="5" t="n">
        <v>880</v>
      </c>
      <c r="H55" s="5" t="n">
        <v>7.1</v>
      </c>
      <c r="I55" s="5" t="n">
        <v>4.8</v>
      </c>
      <c r="J55" s="8" t="s">
        <v>39</v>
      </c>
      <c r="K55" s="9" t="str">
        <f aca="false">VLOOKUP(E55,'2. Productos'!$C$4:$F$8,2,FALSE())</f>
        <v>Cacao en grano</v>
      </c>
      <c r="L55" s="9" t="str">
        <f aca="false">VLOOKUP(E55,'2. Productos'!$C$4:$F$8,3,FALSE())</f>
        <v>Cacao</v>
      </c>
      <c r="M55" s="9" t="str">
        <f aca="false">VLOOKUP(F55,'3. Mercados'!$C$4:$F$9,2,FALSE())</f>
        <v>Centroamérica</v>
      </c>
      <c r="N55" s="10" t="n">
        <f aca="false">VLOOKUP(F55,'3. Mercados'!$C$4:$F$9,3,FALSE())</f>
        <v>0.03</v>
      </c>
      <c r="O55" s="9" t="str">
        <f aca="false">VLOOKUP(F55,'3. Mercados'!$C$4:$F$9,4,FALSE())</f>
        <v>Estratégico</v>
      </c>
      <c r="P55" s="11" t="n">
        <f aca="false">G55*H55</f>
        <v>6248</v>
      </c>
      <c r="Q55" s="11" t="n">
        <f aca="false">G55*I55</f>
        <v>4224</v>
      </c>
      <c r="R55" s="11" t="n">
        <f aca="false">P55-Q55</f>
        <v>2024</v>
      </c>
      <c r="S55" s="12" t="n">
        <f aca="false">R55/P55</f>
        <v>0.323943661971831</v>
      </c>
      <c r="T55" s="9" t="str">
        <f aca="false">IF(S55&gt;=0.3,"Alta",IF(S55&gt;=0.15,"Media","Baja"))</f>
        <v>Alta</v>
      </c>
      <c r="U55" s="9" t="str">
        <f aca="false">IF(P55&gt;=10000,"Grande",IF(P55&gt;=5000,"Mediana","Pequeña"))</f>
        <v>Mediana</v>
      </c>
      <c r="V55" s="9" t="str">
        <f aca="false">IF(AND(O55="Estratégico",S55&gt;=0.3),"Alta",IF(AND(O55="Estratégico",S55&lt;0.3),"Media",IF(AND(O55="Potencial",S55&gt;=0.3),"Media","Baja")))</f>
        <v>Alta</v>
      </c>
    </row>
    <row r="56" customFormat="false" ht="14.25" hidden="false" customHeight="true" outlineLevel="0" collapsed="false">
      <c r="B56" s="5" t="s">
        <v>91</v>
      </c>
      <c r="C56" s="6" t="n">
        <v>46091</v>
      </c>
      <c r="D56" s="5" t="s">
        <v>32</v>
      </c>
      <c r="E56" s="7" t="s">
        <v>28</v>
      </c>
      <c r="F56" s="5" t="s">
        <v>34</v>
      </c>
      <c r="G56" s="5" t="n">
        <v>970</v>
      </c>
      <c r="H56" s="5" t="n">
        <v>6.5</v>
      </c>
      <c r="I56" s="5" t="n">
        <v>4.1</v>
      </c>
      <c r="J56" s="8" t="s">
        <v>25</v>
      </c>
      <c r="K56" s="9" t="str">
        <f aca="false">VLOOKUP(E56,'2. Productos'!$C$4:$F$8,2,FALSE())</f>
        <v>Café especial</v>
      </c>
      <c r="L56" s="9" t="str">
        <f aca="false">VLOOKUP(E56,'2. Productos'!$C$4:$F$8,3,FALSE())</f>
        <v>Café</v>
      </c>
      <c r="M56" s="9" t="str">
        <f aca="false">VLOOKUP(F56,'3. Mercados'!$C$4:$F$9,2,FALSE())</f>
        <v>Centroamérica</v>
      </c>
      <c r="N56" s="10" t="n">
        <f aca="false">VLOOKUP(F56,'3. Mercados'!$C$4:$F$9,3,FALSE())</f>
        <v>0.02</v>
      </c>
      <c r="O56" s="9" t="str">
        <f aca="false">VLOOKUP(F56,'3. Mercados'!$C$4:$F$9,4,FALSE())</f>
        <v>Estratégico</v>
      </c>
      <c r="P56" s="11" t="n">
        <f aca="false">G56*H56</f>
        <v>6305</v>
      </c>
      <c r="Q56" s="11" t="n">
        <f aca="false">G56*I56</f>
        <v>3977</v>
      </c>
      <c r="R56" s="11" t="n">
        <f aca="false">P56-Q56</f>
        <v>2328</v>
      </c>
      <c r="S56" s="12" t="n">
        <f aca="false">R56/P56</f>
        <v>0.369230769230769</v>
      </c>
      <c r="T56" s="9" t="str">
        <f aca="false">IF(S56&gt;=0.3,"Alta",IF(S56&gt;=0.15,"Media","Baja"))</f>
        <v>Alta</v>
      </c>
      <c r="U56" s="9" t="str">
        <f aca="false">IF(P56&gt;=10000,"Grande",IF(P56&gt;=5000,"Mediana","Pequeña"))</f>
        <v>Mediana</v>
      </c>
      <c r="V56" s="9" t="str">
        <f aca="false">IF(AND(O56="Estratégico",S56&gt;=0.3),"Alta",IF(AND(O56="Estratégico",S56&lt;0.3),"Media",IF(AND(O56="Potencial",S56&gt;=0.3),"Media","Baja")))</f>
        <v>Alta</v>
      </c>
    </row>
    <row r="57" customFormat="false" ht="14.25" hidden="false" customHeight="true" outlineLevel="0" collapsed="false">
      <c r="B57" s="5" t="s">
        <v>92</v>
      </c>
      <c r="C57" s="6" t="n">
        <v>46100</v>
      </c>
      <c r="D57" s="5" t="s">
        <v>36</v>
      </c>
      <c r="E57" s="7" t="s">
        <v>33</v>
      </c>
      <c r="F57" s="5" t="s">
        <v>38</v>
      </c>
      <c r="G57" s="5" t="n">
        <v>760</v>
      </c>
      <c r="H57" s="5" t="n">
        <v>8.2</v>
      </c>
      <c r="I57" s="5" t="n">
        <v>5.9</v>
      </c>
      <c r="J57" s="8" t="s">
        <v>30</v>
      </c>
      <c r="K57" s="9" t="str">
        <f aca="false">VLOOKUP(E57,'2. Productos'!$C$4:$F$8,2,FALSE())</f>
        <v>Maní procesado</v>
      </c>
      <c r="L57" s="9" t="str">
        <f aca="false">VLOOKUP(E57,'2. Productos'!$C$4:$F$8,3,FALSE())</f>
        <v>Semillas</v>
      </c>
      <c r="M57" s="9" t="str">
        <f aca="false">VLOOKUP(F57,'3. Mercados'!$C$4:$F$9,2,FALSE())</f>
        <v>Europa</v>
      </c>
      <c r="N57" s="10" t="n">
        <f aca="false">VLOOKUP(F57,'3. Mercados'!$C$4:$F$9,3,FALSE())</f>
        <v>0.1</v>
      </c>
      <c r="O57" s="9" t="str">
        <f aca="false">VLOOKUP(F57,'3. Mercados'!$C$4:$F$9,4,FALSE())</f>
        <v>Potencial</v>
      </c>
      <c r="P57" s="11" t="n">
        <f aca="false">G57*H57</f>
        <v>6232</v>
      </c>
      <c r="Q57" s="11" t="n">
        <f aca="false">G57*I57</f>
        <v>4484</v>
      </c>
      <c r="R57" s="11" t="n">
        <f aca="false">P57-Q57</f>
        <v>1748</v>
      </c>
      <c r="S57" s="12" t="n">
        <f aca="false">R57/P57</f>
        <v>0.280487804878049</v>
      </c>
      <c r="T57" s="9" t="str">
        <f aca="false">IF(S57&gt;=0.3,"Alta",IF(S57&gt;=0.15,"Media","Baja"))</f>
        <v>Media</v>
      </c>
      <c r="U57" s="9" t="str">
        <f aca="false">IF(P57&gt;=10000,"Grande",IF(P57&gt;=5000,"Mediana","Pequeña"))</f>
        <v>Mediana</v>
      </c>
      <c r="V57" s="9" t="str">
        <f aca="false">IF(AND(O57="Estratégico",S57&gt;=0.3),"Alta",IF(AND(O57="Estratégico",S57&lt;0.3),"Media",IF(AND(O57="Potencial",S57&gt;=0.3),"Media","Baja")))</f>
        <v>Baja</v>
      </c>
    </row>
    <row r="58" customFormat="false" ht="14.25" hidden="false" customHeight="true" outlineLevel="0" collapsed="false">
      <c r="B58" s="5" t="s">
        <v>93</v>
      </c>
      <c r="C58" s="6" t="n">
        <v>46109</v>
      </c>
      <c r="D58" s="5" t="s">
        <v>41</v>
      </c>
      <c r="E58" s="7" t="s">
        <v>23</v>
      </c>
      <c r="F58" s="5" t="s">
        <v>43</v>
      </c>
      <c r="G58" s="5" t="n">
        <v>620</v>
      </c>
      <c r="H58" s="5" t="n">
        <v>4.8</v>
      </c>
      <c r="I58" s="5" t="n">
        <v>3.2</v>
      </c>
      <c r="J58" s="8" t="s">
        <v>25</v>
      </c>
      <c r="K58" s="9" t="str">
        <f aca="false">VLOOKUP(E58,'2. Productos'!$C$4:$F$8,2,FALSE())</f>
        <v>Miel natural</v>
      </c>
      <c r="L58" s="9" t="str">
        <f aca="false">VLOOKUP(E58,'2. Productos'!$C$4:$F$8,3,FALSE())</f>
        <v>Apícola</v>
      </c>
      <c r="M58" s="9" t="str">
        <f aca="false">VLOOKUP(F58,'3. Mercados'!$C$4:$F$9,2,FALSE())</f>
        <v>Norteamérica</v>
      </c>
      <c r="N58" s="10" t="n">
        <f aca="false">VLOOKUP(F58,'3. Mercados'!$C$4:$F$9,3,FALSE())</f>
        <v>0.08</v>
      </c>
      <c r="O58" s="9" t="str">
        <f aca="false">VLOOKUP(F58,'3. Mercados'!$C$4:$F$9,4,FALSE())</f>
        <v>Potencial</v>
      </c>
      <c r="P58" s="11" t="n">
        <f aca="false">G58*H58</f>
        <v>2976</v>
      </c>
      <c r="Q58" s="11" t="n">
        <f aca="false">G58*I58</f>
        <v>1984</v>
      </c>
      <c r="R58" s="11" t="n">
        <f aca="false">P58-Q58</f>
        <v>992</v>
      </c>
      <c r="S58" s="12" t="n">
        <f aca="false">R58/P58</f>
        <v>0.333333333333333</v>
      </c>
      <c r="T58" s="9" t="str">
        <f aca="false">IF(S58&gt;=0.3,"Alta",IF(S58&gt;=0.15,"Media","Baja"))</f>
        <v>Alta</v>
      </c>
      <c r="U58" s="9" t="str">
        <f aca="false">IF(P58&gt;=10000,"Grande",IF(P58&gt;=5000,"Mediana","Pequeña"))</f>
        <v>Pequeña</v>
      </c>
      <c r="V58" s="9" t="str">
        <f aca="false">IF(AND(O58="Estratégico",S58&gt;=0.3),"Alta",IF(AND(O58="Estratégico",S58&lt;0.3),"Media",IF(AND(O58="Potencial",S58&gt;=0.3),"Media","Baja")))</f>
        <v>Media</v>
      </c>
    </row>
    <row r="59" customFormat="false" ht="14.25" hidden="false" customHeight="true" outlineLevel="0" collapsed="false">
      <c r="B59" s="5" t="s">
        <v>94</v>
      </c>
      <c r="C59" s="6" t="n">
        <v>46118</v>
      </c>
      <c r="D59" s="5" t="s">
        <v>27</v>
      </c>
      <c r="E59" s="7" t="s">
        <v>42</v>
      </c>
      <c r="F59" s="5" t="s">
        <v>29</v>
      </c>
      <c r="G59" s="5" t="n">
        <v>820</v>
      </c>
      <c r="H59" s="5" t="n">
        <v>12.5</v>
      </c>
      <c r="I59" s="5" t="n">
        <v>8.7</v>
      </c>
      <c r="J59" s="8" t="s">
        <v>30</v>
      </c>
      <c r="K59" s="9" t="str">
        <f aca="false">VLOOKUP(E59,'2. Productos'!$C$4:$F$8,2,FALSE())</f>
        <v>Aceite de ajonjolí</v>
      </c>
      <c r="L59" s="9" t="str">
        <f aca="false">VLOOKUP(E59,'2. Productos'!$C$4:$F$8,3,FALSE())</f>
        <v>Aceites</v>
      </c>
      <c r="M59" s="9" t="str">
        <f aca="false">VLOOKUP(F59,'3. Mercados'!$C$4:$F$9,2,FALSE())</f>
        <v>Norteamérica</v>
      </c>
      <c r="N59" s="10" t="n">
        <f aca="false">VLOOKUP(F59,'3. Mercados'!$C$4:$F$9,3,FALSE())</f>
        <v>0.05</v>
      </c>
      <c r="O59" s="9" t="str">
        <f aca="false">VLOOKUP(F59,'3. Mercados'!$C$4:$F$9,4,FALSE())</f>
        <v>Estratégico</v>
      </c>
      <c r="P59" s="11" t="n">
        <f aca="false">G59*H59</f>
        <v>10250</v>
      </c>
      <c r="Q59" s="11" t="n">
        <f aca="false">G59*I59</f>
        <v>7134</v>
      </c>
      <c r="R59" s="11" t="n">
        <f aca="false">P59-Q59</f>
        <v>3116</v>
      </c>
      <c r="S59" s="12" t="n">
        <f aca="false">R59/P59</f>
        <v>0.304</v>
      </c>
      <c r="T59" s="9" t="str">
        <f aca="false">IF(S59&gt;=0.3,"Alta",IF(S59&gt;=0.15,"Media","Baja"))</f>
        <v>Alta</v>
      </c>
      <c r="U59" s="9" t="str">
        <f aca="false">IF(P59&gt;=10000,"Grande",IF(P59&gt;=5000,"Mediana","Pequeña"))</f>
        <v>Grande</v>
      </c>
      <c r="V59" s="9" t="str">
        <f aca="false">IF(AND(O59="Estratégico",S59&gt;=0.3),"Alta",IF(AND(O59="Estratégico",S59&lt;0.3),"Media",IF(AND(O59="Potencial",S59&gt;=0.3),"Media","Baja")))</f>
        <v>Alta</v>
      </c>
    </row>
    <row r="60" customFormat="false" ht="14.25" hidden="false" customHeight="true" outlineLevel="0" collapsed="false">
      <c r="B60" s="5" t="s">
        <v>95</v>
      </c>
      <c r="C60" s="6" t="n">
        <v>46127</v>
      </c>
      <c r="D60" s="5" t="s">
        <v>22</v>
      </c>
      <c r="E60" s="7" t="s">
        <v>28</v>
      </c>
      <c r="F60" s="5" t="s">
        <v>24</v>
      </c>
      <c r="G60" s="5" t="n">
        <v>1250</v>
      </c>
      <c r="H60" s="5" t="n">
        <v>6.5</v>
      </c>
      <c r="I60" s="5" t="n">
        <v>4.1</v>
      </c>
      <c r="J60" s="8" t="s">
        <v>30</v>
      </c>
      <c r="K60" s="9" t="str">
        <f aca="false">VLOOKUP(E60,'2. Productos'!$C$4:$F$8,2,FALSE())</f>
        <v>Café especial</v>
      </c>
      <c r="L60" s="9" t="str">
        <f aca="false">VLOOKUP(E60,'2. Productos'!$C$4:$F$8,3,FALSE())</f>
        <v>Café</v>
      </c>
      <c r="M60" s="9" t="str">
        <f aca="false">VLOOKUP(F60,'3. Mercados'!$C$4:$F$9,2,FALSE())</f>
        <v>Centroamérica</v>
      </c>
      <c r="N60" s="10" t="n">
        <f aca="false">VLOOKUP(F60,'3. Mercados'!$C$4:$F$9,3,FALSE())</f>
        <v>0.03</v>
      </c>
      <c r="O60" s="9" t="str">
        <f aca="false">VLOOKUP(F60,'3. Mercados'!$C$4:$F$9,4,FALSE())</f>
        <v>Estratégico</v>
      </c>
      <c r="P60" s="11" t="n">
        <f aca="false">G60*H60</f>
        <v>8125</v>
      </c>
      <c r="Q60" s="11" t="n">
        <f aca="false">G60*I60</f>
        <v>5125</v>
      </c>
      <c r="R60" s="11" t="n">
        <f aca="false">P60-Q60</f>
        <v>3000</v>
      </c>
      <c r="S60" s="12" t="n">
        <f aca="false">R60/P60</f>
        <v>0.369230769230769</v>
      </c>
      <c r="T60" s="9" t="str">
        <f aca="false">IF(S60&gt;=0.3,"Alta",IF(S60&gt;=0.15,"Media","Baja"))</f>
        <v>Alta</v>
      </c>
      <c r="U60" s="9" t="str">
        <f aca="false">IF(P60&gt;=10000,"Grande",IF(P60&gt;=5000,"Mediana","Pequeña"))</f>
        <v>Mediana</v>
      </c>
      <c r="V60" s="9" t="str">
        <f aca="false">IF(AND(O60="Estratégico",S60&gt;=0.3),"Alta",IF(AND(O60="Estratégico",S60&lt;0.3),"Media",IF(AND(O60="Potencial",S60&gt;=0.3),"Media","Baja")))</f>
        <v>Alta</v>
      </c>
    </row>
    <row r="61" customFormat="false" ht="14.25" hidden="false" customHeight="true" outlineLevel="0" collapsed="false">
      <c r="B61" s="5" t="s">
        <v>96</v>
      </c>
      <c r="C61" s="6" t="n">
        <v>46136</v>
      </c>
      <c r="D61" s="5" t="s">
        <v>32</v>
      </c>
      <c r="E61" s="7" t="s">
        <v>37</v>
      </c>
      <c r="F61" s="5" t="s">
        <v>34</v>
      </c>
      <c r="G61" s="5" t="n">
        <v>790</v>
      </c>
      <c r="H61" s="5" t="n">
        <v>7.1</v>
      </c>
      <c r="I61" s="5" t="n">
        <v>4.8</v>
      </c>
      <c r="J61" s="8" t="s">
        <v>25</v>
      </c>
      <c r="K61" s="9" t="str">
        <f aca="false">VLOOKUP(E61,'2. Productos'!$C$4:$F$8,2,FALSE())</f>
        <v>Cacao en grano</v>
      </c>
      <c r="L61" s="9" t="str">
        <f aca="false">VLOOKUP(E61,'2. Productos'!$C$4:$F$8,3,FALSE())</f>
        <v>Cacao</v>
      </c>
      <c r="M61" s="9" t="str">
        <f aca="false">VLOOKUP(F61,'3. Mercados'!$C$4:$F$9,2,FALSE())</f>
        <v>Centroamérica</v>
      </c>
      <c r="N61" s="10" t="n">
        <f aca="false">VLOOKUP(F61,'3. Mercados'!$C$4:$F$9,3,FALSE())</f>
        <v>0.02</v>
      </c>
      <c r="O61" s="9" t="str">
        <f aca="false">VLOOKUP(F61,'3. Mercados'!$C$4:$F$9,4,FALSE())</f>
        <v>Estratégico</v>
      </c>
      <c r="P61" s="11" t="n">
        <f aca="false">G61*H61</f>
        <v>5609</v>
      </c>
      <c r="Q61" s="11" t="n">
        <f aca="false">G61*I61</f>
        <v>3792</v>
      </c>
      <c r="R61" s="11" t="n">
        <f aca="false">P61-Q61</f>
        <v>1817</v>
      </c>
      <c r="S61" s="12" t="n">
        <f aca="false">R61/P61</f>
        <v>0.323943661971831</v>
      </c>
      <c r="T61" s="9" t="str">
        <f aca="false">IF(S61&gt;=0.3,"Alta",IF(S61&gt;=0.15,"Media","Baja"))</f>
        <v>Alta</v>
      </c>
      <c r="U61" s="9" t="str">
        <f aca="false">IF(P61&gt;=10000,"Grande",IF(P61&gt;=5000,"Mediana","Pequeña"))</f>
        <v>Mediana</v>
      </c>
      <c r="V61" s="9" t="str">
        <f aca="false">IF(AND(O61="Estratégico",S61&gt;=0.3),"Alta",IF(AND(O61="Estratégico",S61&lt;0.3),"Media",IF(AND(O61="Potencial",S61&gt;=0.3),"Media","Baja")))</f>
        <v>Alta</v>
      </c>
    </row>
    <row r="62" customFormat="false" ht="14.25" hidden="false" customHeight="true" outlineLevel="0" collapsed="false">
      <c r="B62" s="5" t="s">
        <v>97</v>
      </c>
      <c r="C62" s="6" t="n">
        <v>46145</v>
      </c>
      <c r="D62" s="5" t="s">
        <v>36</v>
      </c>
      <c r="E62" s="7" t="s">
        <v>23</v>
      </c>
      <c r="F62" s="5" t="s">
        <v>38</v>
      </c>
      <c r="G62" s="5" t="n">
        <v>980</v>
      </c>
      <c r="H62" s="5" t="n">
        <v>4.8</v>
      </c>
      <c r="I62" s="5" t="n">
        <v>3.2</v>
      </c>
      <c r="J62" s="8" t="s">
        <v>39</v>
      </c>
      <c r="K62" s="9" t="str">
        <f aca="false">VLOOKUP(E62,'2. Productos'!$C$4:$F$8,2,FALSE())</f>
        <v>Miel natural</v>
      </c>
      <c r="L62" s="9" t="str">
        <f aca="false">VLOOKUP(E62,'2. Productos'!$C$4:$F$8,3,FALSE())</f>
        <v>Apícola</v>
      </c>
      <c r="M62" s="9" t="str">
        <f aca="false">VLOOKUP(F62,'3. Mercados'!$C$4:$F$9,2,FALSE())</f>
        <v>Europa</v>
      </c>
      <c r="N62" s="10" t="n">
        <f aca="false">VLOOKUP(F62,'3. Mercados'!$C$4:$F$9,3,FALSE())</f>
        <v>0.1</v>
      </c>
      <c r="O62" s="9" t="str">
        <f aca="false">VLOOKUP(F62,'3. Mercados'!$C$4:$F$9,4,FALSE())</f>
        <v>Potencial</v>
      </c>
      <c r="P62" s="11" t="n">
        <f aca="false">G62*H62</f>
        <v>4704</v>
      </c>
      <c r="Q62" s="11" t="n">
        <f aca="false">G62*I62</f>
        <v>3136</v>
      </c>
      <c r="R62" s="11" t="n">
        <f aca="false">P62-Q62</f>
        <v>1568</v>
      </c>
      <c r="S62" s="12" t="n">
        <f aca="false">R62/P62</f>
        <v>0.333333333333333</v>
      </c>
      <c r="T62" s="9" t="str">
        <f aca="false">IF(S62&gt;=0.3,"Alta",IF(S62&gt;=0.15,"Media","Baja"))</f>
        <v>Alta</v>
      </c>
      <c r="U62" s="9" t="str">
        <f aca="false">IF(P62&gt;=10000,"Grande",IF(P62&gt;=5000,"Mediana","Pequeña"))</f>
        <v>Pequeña</v>
      </c>
      <c r="V62" s="9" t="str">
        <f aca="false">IF(AND(O62="Estratégico",S62&gt;=0.3),"Alta",IF(AND(O62="Estratégico",S62&lt;0.3),"Media",IF(AND(O62="Potencial",S62&gt;=0.3),"Media","Baja")))</f>
        <v>Media</v>
      </c>
    </row>
    <row r="63" customFormat="false" ht="14.25" hidden="false" customHeight="true" outlineLevel="0" collapsed="false">
      <c r="B63" s="5" t="s">
        <v>98</v>
      </c>
      <c r="C63" s="6" t="n">
        <v>46154</v>
      </c>
      <c r="D63" s="5" t="s">
        <v>41</v>
      </c>
      <c r="E63" s="7" t="s">
        <v>33</v>
      </c>
      <c r="F63" s="5" t="s">
        <v>43</v>
      </c>
      <c r="G63" s="5" t="n">
        <v>730</v>
      </c>
      <c r="H63" s="5" t="n">
        <v>8.2</v>
      </c>
      <c r="I63" s="5" t="n">
        <v>5.9</v>
      </c>
      <c r="J63" s="8" t="s">
        <v>30</v>
      </c>
      <c r="K63" s="9" t="str">
        <f aca="false">VLOOKUP(E63,'2. Productos'!$C$4:$F$8,2,FALSE())</f>
        <v>Maní procesado</v>
      </c>
      <c r="L63" s="9" t="str">
        <f aca="false">VLOOKUP(E63,'2. Productos'!$C$4:$F$8,3,FALSE())</f>
        <v>Semillas</v>
      </c>
      <c r="M63" s="9" t="str">
        <f aca="false">VLOOKUP(F63,'3. Mercados'!$C$4:$F$9,2,FALSE())</f>
        <v>Norteamérica</v>
      </c>
      <c r="N63" s="10" t="n">
        <f aca="false">VLOOKUP(F63,'3. Mercados'!$C$4:$F$9,3,FALSE())</f>
        <v>0.08</v>
      </c>
      <c r="O63" s="9" t="str">
        <f aca="false">VLOOKUP(F63,'3. Mercados'!$C$4:$F$9,4,FALSE())</f>
        <v>Potencial</v>
      </c>
      <c r="P63" s="11" t="n">
        <f aca="false">G63*H63</f>
        <v>5986</v>
      </c>
      <c r="Q63" s="11" t="n">
        <f aca="false">G63*I63</f>
        <v>4307</v>
      </c>
      <c r="R63" s="11" t="n">
        <f aca="false">P63-Q63</f>
        <v>1679</v>
      </c>
      <c r="S63" s="12" t="n">
        <f aca="false">R63/P63</f>
        <v>0.280487804878049</v>
      </c>
      <c r="T63" s="9" t="str">
        <f aca="false">IF(S63&gt;=0.3,"Alta",IF(S63&gt;=0.15,"Media","Baja"))</f>
        <v>Media</v>
      </c>
      <c r="U63" s="9" t="str">
        <f aca="false">IF(P63&gt;=10000,"Grande",IF(P63&gt;=5000,"Mediana","Pequeña"))</f>
        <v>Mediana</v>
      </c>
      <c r="V63" s="9" t="str">
        <f aca="false">IF(AND(O63="Estratégico",S63&gt;=0.3),"Alta",IF(AND(O63="Estratégico",S63&lt;0.3),"Media",IF(AND(O63="Potencial",S63&gt;=0.3),"Media","Baja")))</f>
        <v>Baja</v>
      </c>
    </row>
    <row r="64" customFormat="false" ht="14.25" hidden="false" customHeight="true" outlineLevel="0" collapsed="false">
      <c r="B64" s="5" t="s">
        <v>99</v>
      </c>
      <c r="C64" s="6" t="n">
        <v>46163</v>
      </c>
      <c r="D64" s="5" t="s">
        <v>27</v>
      </c>
      <c r="E64" s="7" t="s">
        <v>28</v>
      </c>
      <c r="F64" s="5" t="s">
        <v>29</v>
      </c>
      <c r="G64" s="5" t="n">
        <v>1320</v>
      </c>
      <c r="H64" s="5" t="n">
        <v>6.5</v>
      </c>
      <c r="I64" s="5" t="n">
        <v>4.1</v>
      </c>
      <c r="J64" s="8" t="s">
        <v>25</v>
      </c>
      <c r="K64" s="9" t="str">
        <f aca="false">VLOOKUP(E64,'2. Productos'!$C$4:$F$8,2,FALSE())</f>
        <v>Café especial</v>
      </c>
      <c r="L64" s="9" t="str">
        <f aca="false">VLOOKUP(E64,'2. Productos'!$C$4:$F$8,3,FALSE())</f>
        <v>Café</v>
      </c>
      <c r="M64" s="9" t="str">
        <f aca="false">VLOOKUP(F64,'3. Mercados'!$C$4:$F$9,2,FALSE())</f>
        <v>Norteamérica</v>
      </c>
      <c r="N64" s="10" t="n">
        <f aca="false">VLOOKUP(F64,'3. Mercados'!$C$4:$F$9,3,FALSE())</f>
        <v>0.05</v>
      </c>
      <c r="O64" s="9" t="str">
        <f aca="false">VLOOKUP(F64,'3. Mercados'!$C$4:$F$9,4,FALSE())</f>
        <v>Estratégico</v>
      </c>
      <c r="P64" s="11" t="n">
        <f aca="false">G64*H64</f>
        <v>8580</v>
      </c>
      <c r="Q64" s="11" t="n">
        <f aca="false">G64*I64</f>
        <v>5412</v>
      </c>
      <c r="R64" s="11" t="n">
        <f aca="false">P64-Q64</f>
        <v>3168</v>
      </c>
      <c r="S64" s="12" t="n">
        <f aca="false">R64/P64</f>
        <v>0.369230769230769</v>
      </c>
      <c r="T64" s="9" t="str">
        <f aca="false">IF(S64&gt;=0.3,"Alta",IF(S64&gt;=0.15,"Media","Baja"))</f>
        <v>Alta</v>
      </c>
      <c r="U64" s="9" t="str">
        <f aca="false">IF(P64&gt;=10000,"Grande",IF(P64&gt;=5000,"Mediana","Pequeña"))</f>
        <v>Mediana</v>
      </c>
      <c r="V64" s="9" t="str">
        <f aca="false">IF(AND(O64="Estratégico",S64&gt;=0.3),"Alta",IF(AND(O64="Estratégico",S64&lt;0.3),"Media",IF(AND(O64="Potencial",S64&gt;=0.3),"Media","Baja")))</f>
        <v>Alta</v>
      </c>
    </row>
    <row r="65" customFormat="false" ht="14.25" hidden="false" customHeight="true" outlineLevel="0" collapsed="false">
      <c r="B65" s="5" t="s">
        <v>100</v>
      </c>
      <c r="C65" s="6" t="n">
        <v>46172</v>
      </c>
      <c r="D65" s="5" t="s">
        <v>22</v>
      </c>
      <c r="E65" s="7" t="s">
        <v>42</v>
      </c>
      <c r="F65" s="5" t="s">
        <v>24</v>
      </c>
      <c r="G65" s="5" t="n">
        <v>470</v>
      </c>
      <c r="H65" s="5" t="n">
        <v>12.5</v>
      </c>
      <c r="I65" s="5" t="n">
        <v>8.7</v>
      </c>
      <c r="J65" s="8" t="s">
        <v>30</v>
      </c>
      <c r="K65" s="9" t="str">
        <f aca="false">VLOOKUP(E65,'2. Productos'!$C$4:$F$8,2,FALSE())</f>
        <v>Aceite de ajonjolí</v>
      </c>
      <c r="L65" s="9" t="str">
        <f aca="false">VLOOKUP(E65,'2. Productos'!$C$4:$F$8,3,FALSE())</f>
        <v>Aceites</v>
      </c>
      <c r="M65" s="9" t="str">
        <f aca="false">VLOOKUP(F65,'3. Mercados'!$C$4:$F$9,2,FALSE())</f>
        <v>Centroamérica</v>
      </c>
      <c r="N65" s="10" t="n">
        <f aca="false">VLOOKUP(F65,'3. Mercados'!$C$4:$F$9,3,FALSE())</f>
        <v>0.03</v>
      </c>
      <c r="O65" s="9" t="str">
        <f aca="false">VLOOKUP(F65,'3. Mercados'!$C$4:$F$9,4,FALSE())</f>
        <v>Estratégico</v>
      </c>
      <c r="P65" s="11" t="n">
        <f aca="false">G65*H65</f>
        <v>5875</v>
      </c>
      <c r="Q65" s="11" t="n">
        <f aca="false">G65*I65</f>
        <v>4089</v>
      </c>
      <c r="R65" s="11" t="n">
        <f aca="false">P65-Q65</f>
        <v>1786</v>
      </c>
      <c r="S65" s="12" t="n">
        <f aca="false">R65/P65</f>
        <v>0.304</v>
      </c>
      <c r="T65" s="9" t="str">
        <f aca="false">IF(S65&gt;=0.3,"Alta",IF(S65&gt;=0.15,"Media","Baja"))</f>
        <v>Alta</v>
      </c>
      <c r="U65" s="9" t="str">
        <f aca="false">IF(P65&gt;=10000,"Grande",IF(P65&gt;=5000,"Mediana","Pequeña"))</f>
        <v>Mediana</v>
      </c>
      <c r="V65" s="9" t="str">
        <f aca="false">IF(AND(O65="Estratégico",S65&gt;=0.3),"Alta",IF(AND(O65="Estratégico",S65&lt;0.3),"Media",IF(AND(O65="Potencial",S65&gt;=0.3),"Media","Baja")))</f>
        <v>Alta</v>
      </c>
    </row>
    <row r="66" customFormat="false" ht="14.25" hidden="false" customHeight="true" outlineLevel="0" collapsed="false">
      <c r="B66" s="5" t="s">
        <v>101</v>
      </c>
      <c r="C66" s="6" t="n">
        <v>46181</v>
      </c>
      <c r="D66" s="5" t="s">
        <v>32</v>
      </c>
      <c r="E66" s="7" t="s">
        <v>23</v>
      </c>
      <c r="F66" s="5" t="s">
        <v>34</v>
      </c>
      <c r="G66" s="5" t="n">
        <v>860</v>
      </c>
      <c r="H66" s="5" t="n">
        <v>4.8</v>
      </c>
      <c r="I66" s="5" t="n">
        <v>3.2</v>
      </c>
      <c r="J66" s="8" t="s">
        <v>30</v>
      </c>
      <c r="K66" s="9" t="str">
        <f aca="false">VLOOKUP(E66,'2. Productos'!$C$4:$F$8,2,FALSE())</f>
        <v>Miel natural</v>
      </c>
      <c r="L66" s="9" t="str">
        <f aca="false">VLOOKUP(E66,'2. Productos'!$C$4:$F$8,3,FALSE())</f>
        <v>Apícola</v>
      </c>
      <c r="M66" s="9" t="str">
        <f aca="false">VLOOKUP(F66,'3. Mercados'!$C$4:$F$9,2,FALSE())</f>
        <v>Centroamérica</v>
      </c>
      <c r="N66" s="10" t="n">
        <f aca="false">VLOOKUP(F66,'3. Mercados'!$C$4:$F$9,3,FALSE())</f>
        <v>0.02</v>
      </c>
      <c r="O66" s="9" t="str">
        <f aca="false">VLOOKUP(F66,'3. Mercados'!$C$4:$F$9,4,FALSE())</f>
        <v>Estratégico</v>
      </c>
      <c r="P66" s="11" t="n">
        <f aca="false">G66*H66</f>
        <v>4128</v>
      </c>
      <c r="Q66" s="11" t="n">
        <f aca="false">G66*I66</f>
        <v>2752</v>
      </c>
      <c r="R66" s="11" t="n">
        <f aca="false">P66-Q66</f>
        <v>1376</v>
      </c>
      <c r="S66" s="12" t="n">
        <f aca="false">R66/P66</f>
        <v>0.333333333333333</v>
      </c>
      <c r="T66" s="9" t="str">
        <f aca="false">IF(S66&gt;=0.3,"Alta",IF(S66&gt;=0.15,"Media","Baja"))</f>
        <v>Alta</v>
      </c>
      <c r="U66" s="9" t="str">
        <f aca="false">IF(P66&gt;=10000,"Grande",IF(P66&gt;=5000,"Mediana","Pequeña"))</f>
        <v>Pequeña</v>
      </c>
      <c r="V66" s="9" t="str">
        <f aca="false">IF(AND(O66="Estratégico",S66&gt;=0.3),"Alta",IF(AND(O66="Estratégico",S66&lt;0.3),"Media",IF(AND(O66="Potencial",S66&gt;=0.3),"Media","Baja")))</f>
        <v>Alta</v>
      </c>
    </row>
    <row r="67" customFormat="false" ht="14.25" hidden="false" customHeight="true" outlineLevel="0" collapsed="false">
      <c r="B67" s="5" t="s">
        <v>102</v>
      </c>
      <c r="C67" s="6" t="n">
        <v>46190</v>
      </c>
      <c r="D67" s="5" t="s">
        <v>36</v>
      </c>
      <c r="E67" s="7" t="s">
        <v>37</v>
      </c>
      <c r="F67" s="5" t="s">
        <v>38</v>
      </c>
      <c r="G67" s="5" t="n">
        <v>1040</v>
      </c>
      <c r="H67" s="5" t="n">
        <v>7.1</v>
      </c>
      <c r="I67" s="5" t="n">
        <v>4.8</v>
      </c>
      <c r="J67" s="8" t="s">
        <v>25</v>
      </c>
      <c r="K67" s="9" t="str">
        <f aca="false">VLOOKUP(E67,'2. Productos'!$C$4:$F$8,2,FALSE())</f>
        <v>Cacao en grano</v>
      </c>
      <c r="L67" s="9" t="str">
        <f aca="false">VLOOKUP(E67,'2. Productos'!$C$4:$F$8,3,FALSE())</f>
        <v>Cacao</v>
      </c>
      <c r="M67" s="9" t="str">
        <f aca="false">VLOOKUP(F67,'3. Mercados'!$C$4:$F$9,2,FALSE())</f>
        <v>Europa</v>
      </c>
      <c r="N67" s="10" t="n">
        <f aca="false">VLOOKUP(F67,'3. Mercados'!$C$4:$F$9,3,FALSE())</f>
        <v>0.1</v>
      </c>
      <c r="O67" s="9" t="str">
        <f aca="false">VLOOKUP(F67,'3. Mercados'!$C$4:$F$9,4,FALSE())</f>
        <v>Potencial</v>
      </c>
      <c r="P67" s="11" t="n">
        <f aca="false">G67*H67</f>
        <v>7384</v>
      </c>
      <c r="Q67" s="11" t="n">
        <f aca="false">G67*I67</f>
        <v>4992</v>
      </c>
      <c r="R67" s="11" t="n">
        <f aca="false">P67-Q67</f>
        <v>2392</v>
      </c>
      <c r="S67" s="12" t="n">
        <f aca="false">R67/P67</f>
        <v>0.323943661971831</v>
      </c>
      <c r="T67" s="9" t="str">
        <f aca="false">IF(S67&gt;=0.3,"Alta",IF(S67&gt;=0.15,"Media","Baja"))</f>
        <v>Alta</v>
      </c>
      <c r="U67" s="9" t="str">
        <f aca="false">IF(P67&gt;=10000,"Grande",IF(P67&gt;=5000,"Mediana","Pequeña"))</f>
        <v>Mediana</v>
      </c>
      <c r="V67" s="9" t="str">
        <f aca="false">IF(AND(O67="Estratégico",S67&gt;=0.3),"Alta",IF(AND(O67="Estratégico",S67&lt;0.3),"Media",IF(AND(O67="Potencial",S67&gt;=0.3),"Media","Baja")))</f>
        <v>Media</v>
      </c>
    </row>
    <row r="68" customFormat="false" ht="14.25" hidden="false" customHeight="true" outlineLevel="0" collapsed="false">
      <c r="B68" s="5" t="s">
        <v>103</v>
      </c>
      <c r="C68" s="6" t="n">
        <v>46199</v>
      </c>
      <c r="D68" s="5" t="s">
        <v>41</v>
      </c>
      <c r="E68" s="7" t="s">
        <v>28</v>
      </c>
      <c r="F68" s="5" t="s">
        <v>43</v>
      </c>
      <c r="G68" s="5" t="n">
        <v>890</v>
      </c>
      <c r="H68" s="5" t="n">
        <v>6.5</v>
      </c>
      <c r="I68" s="5" t="n">
        <v>4.1</v>
      </c>
      <c r="J68" s="8" t="s">
        <v>39</v>
      </c>
      <c r="K68" s="9" t="str">
        <f aca="false">VLOOKUP(E68,'2. Productos'!$C$4:$F$8,2,FALSE())</f>
        <v>Café especial</v>
      </c>
      <c r="L68" s="9" t="str">
        <f aca="false">VLOOKUP(E68,'2. Productos'!$C$4:$F$8,3,FALSE())</f>
        <v>Café</v>
      </c>
      <c r="M68" s="9" t="str">
        <f aca="false">VLOOKUP(F68,'3. Mercados'!$C$4:$F$9,2,FALSE())</f>
        <v>Norteamérica</v>
      </c>
      <c r="N68" s="10" t="n">
        <f aca="false">VLOOKUP(F68,'3. Mercados'!$C$4:$F$9,3,FALSE())</f>
        <v>0.08</v>
      </c>
      <c r="O68" s="9" t="str">
        <f aca="false">VLOOKUP(F68,'3. Mercados'!$C$4:$F$9,4,FALSE())</f>
        <v>Potencial</v>
      </c>
      <c r="P68" s="11" t="n">
        <f aca="false">G68*H68</f>
        <v>5785</v>
      </c>
      <c r="Q68" s="11" t="n">
        <f aca="false">G68*I68</f>
        <v>3649</v>
      </c>
      <c r="R68" s="11" t="n">
        <f aca="false">P68-Q68</f>
        <v>2136</v>
      </c>
      <c r="S68" s="12" t="n">
        <f aca="false">R68/P68</f>
        <v>0.369230769230769</v>
      </c>
      <c r="T68" s="9" t="str">
        <f aca="false">IF(S68&gt;=0.3,"Alta",IF(S68&gt;=0.15,"Media","Baja"))</f>
        <v>Alta</v>
      </c>
      <c r="U68" s="9" t="str">
        <f aca="false">IF(P68&gt;=10000,"Grande",IF(P68&gt;=5000,"Mediana","Pequeña"))</f>
        <v>Mediana</v>
      </c>
      <c r="V68" s="9" t="str">
        <f aca="false">IF(AND(O68="Estratégico",S68&gt;=0.3),"Alta",IF(AND(O68="Estratégico",S68&lt;0.3),"Media",IF(AND(O68="Potencial",S68&gt;=0.3),"Media","Baja")))</f>
        <v>Media</v>
      </c>
    </row>
    <row r="69" customFormat="false" ht="14.25" hidden="false" customHeight="true" outlineLevel="0" collapsed="false">
      <c r="B69" s="5" t="s">
        <v>104</v>
      </c>
      <c r="C69" s="6" t="n">
        <v>46208</v>
      </c>
      <c r="D69" s="5" t="s">
        <v>27</v>
      </c>
      <c r="E69" s="7" t="s">
        <v>33</v>
      </c>
      <c r="F69" s="5" t="s">
        <v>29</v>
      </c>
      <c r="G69" s="5" t="n">
        <v>1170</v>
      </c>
      <c r="H69" s="5" t="n">
        <v>8.2</v>
      </c>
      <c r="I69" s="5" t="n">
        <v>5.9</v>
      </c>
      <c r="J69" s="8" t="s">
        <v>30</v>
      </c>
      <c r="K69" s="9" t="str">
        <f aca="false">VLOOKUP(E69,'2. Productos'!$C$4:$F$8,2,FALSE())</f>
        <v>Maní procesado</v>
      </c>
      <c r="L69" s="9" t="str">
        <f aca="false">VLOOKUP(E69,'2. Productos'!$C$4:$F$8,3,FALSE())</f>
        <v>Semillas</v>
      </c>
      <c r="M69" s="9" t="str">
        <f aca="false">VLOOKUP(F69,'3. Mercados'!$C$4:$F$9,2,FALSE())</f>
        <v>Norteamérica</v>
      </c>
      <c r="N69" s="10" t="n">
        <f aca="false">VLOOKUP(F69,'3. Mercados'!$C$4:$F$9,3,FALSE())</f>
        <v>0.05</v>
      </c>
      <c r="O69" s="9" t="str">
        <f aca="false">VLOOKUP(F69,'3. Mercados'!$C$4:$F$9,4,FALSE())</f>
        <v>Estratégico</v>
      </c>
      <c r="P69" s="11" t="n">
        <f aca="false">G69*H69</f>
        <v>9594</v>
      </c>
      <c r="Q69" s="11" t="n">
        <f aca="false">G69*I69</f>
        <v>6903</v>
      </c>
      <c r="R69" s="11" t="n">
        <f aca="false">P69-Q69</f>
        <v>2691</v>
      </c>
      <c r="S69" s="12" t="n">
        <f aca="false">R69/P69</f>
        <v>0.280487804878049</v>
      </c>
      <c r="T69" s="9" t="str">
        <f aca="false">IF(S69&gt;=0.3,"Alta",IF(S69&gt;=0.15,"Media","Baja"))</f>
        <v>Media</v>
      </c>
      <c r="U69" s="9" t="str">
        <f aca="false">IF(P69&gt;=10000,"Grande",IF(P69&gt;=5000,"Mediana","Pequeña"))</f>
        <v>Mediana</v>
      </c>
      <c r="V69" s="9" t="str">
        <f aca="false">IF(AND(O69="Estratégico",S69&gt;=0.3),"Alta",IF(AND(O69="Estratégico",S69&lt;0.3),"Media",IF(AND(O69="Potencial",S69&gt;=0.3),"Media","Baja")))</f>
        <v>Media</v>
      </c>
    </row>
    <row r="70" customFormat="false" ht="14.25" hidden="false" customHeight="true" outlineLevel="0" collapsed="false">
      <c r="B70" s="5" t="s">
        <v>105</v>
      </c>
      <c r="C70" s="6" t="n">
        <v>46217</v>
      </c>
      <c r="D70" s="5" t="s">
        <v>22</v>
      </c>
      <c r="E70" s="7" t="s">
        <v>23</v>
      </c>
      <c r="F70" s="5" t="s">
        <v>24</v>
      </c>
      <c r="G70" s="5" t="n">
        <v>760</v>
      </c>
      <c r="H70" s="5" t="n">
        <v>4.8</v>
      </c>
      <c r="I70" s="5" t="n">
        <v>3.2</v>
      </c>
      <c r="J70" s="8" t="s">
        <v>25</v>
      </c>
      <c r="K70" s="9" t="str">
        <f aca="false">VLOOKUP(E70,'2. Productos'!$C$4:$F$8,2,FALSE())</f>
        <v>Miel natural</v>
      </c>
      <c r="L70" s="9" t="str">
        <f aca="false">VLOOKUP(E70,'2. Productos'!$C$4:$F$8,3,FALSE())</f>
        <v>Apícola</v>
      </c>
      <c r="M70" s="9" t="str">
        <f aca="false">VLOOKUP(F70,'3. Mercados'!$C$4:$F$9,2,FALSE())</f>
        <v>Centroamérica</v>
      </c>
      <c r="N70" s="10" t="n">
        <f aca="false">VLOOKUP(F70,'3. Mercados'!$C$4:$F$9,3,FALSE())</f>
        <v>0.03</v>
      </c>
      <c r="O70" s="9" t="str">
        <f aca="false">VLOOKUP(F70,'3. Mercados'!$C$4:$F$9,4,FALSE())</f>
        <v>Estratégico</v>
      </c>
      <c r="P70" s="11" t="n">
        <f aca="false">G70*H70</f>
        <v>3648</v>
      </c>
      <c r="Q70" s="11" t="n">
        <f aca="false">G70*I70</f>
        <v>2432</v>
      </c>
      <c r="R70" s="11" t="n">
        <f aca="false">P70-Q70</f>
        <v>1216</v>
      </c>
      <c r="S70" s="12" t="n">
        <f aca="false">R70/P70</f>
        <v>0.333333333333333</v>
      </c>
      <c r="T70" s="9" t="str">
        <f aca="false">IF(S70&gt;=0.3,"Alta",IF(S70&gt;=0.15,"Media","Baja"))</f>
        <v>Alta</v>
      </c>
      <c r="U70" s="9" t="str">
        <f aca="false">IF(P70&gt;=10000,"Grande",IF(P70&gt;=5000,"Mediana","Pequeña"))</f>
        <v>Pequeña</v>
      </c>
      <c r="V70" s="9" t="str">
        <f aca="false">IF(AND(O70="Estratégico",S70&gt;=0.3),"Alta",IF(AND(O70="Estratégico",S70&lt;0.3),"Media",IF(AND(O70="Potencial",S70&gt;=0.3),"Media","Baja")))</f>
        <v>Alta</v>
      </c>
    </row>
    <row r="71" customFormat="false" ht="14.25" hidden="false" customHeight="true" outlineLevel="0" collapsed="false">
      <c r="B71" s="5" t="s">
        <v>106</v>
      </c>
      <c r="C71" s="6" t="n">
        <v>46226</v>
      </c>
      <c r="D71" s="5" t="s">
        <v>32</v>
      </c>
      <c r="E71" s="7" t="s">
        <v>42</v>
      </c>
      <c r="F71" s="5" t="s">
        <v>34</v>
      </c>
      <c r="G71" s="5" t="n">
        <v>540</v>
      </c>
      <c r="H71" s="5" t="n">
        <v>12.5</v>
      </c>
      <c r="I71" s="5" t="n">
        <v>8.7</v>
      </c>
      <c r="J71" s="8" t="s">
        <v>30</v>
      </c>
      <c r="K71" s="9" t="str">
        <f aca="false">VLOOKUP(E71,'2. Productos'!$C$4:$F$8,2,FALSE())</f>
        <v>Aceite de ajonjolí</v>
      </c>
      <c r="L71" s="9" t="str">
        <f aca="false">VLOOKUP(E71,'2. Productos'!$C$4:$F$8,3,FALSE())</f>
        <v>Aceites</v>
      </c>
      <c r="M71" s="9" t="str">
        <f aca="false">VLOOKUP(F71,'3. Mercados'!$C$4:$F$9,2,FALSE())</f>
        <v>Centroamérica</v>
      </c>
      <c r="N71" s="10" t="n">
        <f aca="false">VLOOKUP(F71,'3. Mercados'!$C$4:$F$9,3,FALSE())</f>
        <v>0.02</v>
      </c>
      <c r="O71" s="9" t="str">
        <f aca="false">VLOOKUP(F71,'3. Mercados'!$C$4:$F$9,4,FALSE())</f>
        <v>Estratégico</v>
      </c>
      <c r="P71" s="11" t="n">
        <f aca="false">G71*H71</f>
        <v>6750</v>
      </c>
      <c r="Q71" s="11" t="n">
        <f aca="false">G71*I71</f>
        <v>4698</v>
      </c>
      <c r="R71" s="11" t="n">
        <f aca="false">P71-Q71</f>
        <v>2052</v>
      </c>
      <c r="S71" s="12" t="n">
        <f aca="false">R71/P71</f>
        <v>0.304</v>
      </c>
      <c r="T71" s="9" t="str">
        <f aca="false">IF(S71&gt;=0.3,"Alta",IF(S71&gt;=0.15,"Media","Baja"))</f>
        <v>Alta</v>
      </c>
      <c r="U71" s="9" t="str">
        <f aca="false">IF(P71&gt;=10000,"Grande",IF(P71&gt;=5000,"Mediana","Pequeña"))</f>
        <v>Mediana</v>
      </c>
      <c r="V71" s="9" t="str">
        <f aca="false">IF(AND(O71="Estratégico",S71&gt;=0.3),"Alta",IF(AND(O71="Estratégico",S71&lt;0.3),"Media",IF(AND(O71="Potencial",S71&gt;=0.3),"Media","Baja")))</f>
        <v>Alta</v>
      </c>
    </row>
    <row r="72" customFormat="false" ht="14.25" hidden="false" customHeight="true" outlineLevel="0" collapsed="false">
      <c r="B72" s="5" t="s">
        <v>107</v>
      </c>
      <c r="C72" s="6" t="n">
        <v>46235</v>
      </c>
      <c r="D72" s="5" t="s">
        <v>36</v>
      </c>
      <c r="E72" s="7" t="s">
        <v>28</v>
      </c>
      <c r="F72" s="5" t="s">
        <v>38</v>
      </c>
      <c r="G72" s="5" t="n">
        <v>1280</v>
      </c>
      <c r="H72" s="5" t="n">
        <v>6.5</v>
      </c>
      <c r="I72" s="5" t="n">
        <v>4.1</v>
      </c>
      <c r="J72" s="8" t="s">
        <v>25</v>
      </c>
      <c r="K72" s="9" t="str">
        <f aca="false">VLOOKUP(E72,'2. Productos'!$C$4:$F$8,2,FALSE())</f>
        <v>Café especial</v>
      </c>
      <c r="L72" s="9" t="str">
        <f aca="false">VLOOKUP(E72,'2. Productos'!$C$4:$F$8,3,FALSE())</f>
        <v>Café</v>
      </c>
      <c r="M72" s="9" t="str">
        <f aca="false">VLOOKUP(F72,'3. Mercados'!$C$4:$F$9,2,FALSE())</f>
        <v>Europa</v>
      </c>
      <c r="N72" s="10" t="n">
        <f aca="false">VLOOKUP(F72,'3. Mercados'!$C$4:$F$9,3,FALSE())</f>
        <v>0.1</v>
      </c>
      <c r="O72" s="9" t="str">
        <f aca="false">VLOOKUP(F72,'3. Mercados'!$C$4:$F$9,4,FALSE())</f>
        <v>Potencial</v>
      </c>
      <c r="P72" s="11" t="n">
        <f aca="false">G72*H72</f>
        <v>8320</v>
      </c>
      <c r="Q72" s="11" t="n">
        <f aca="false">G72*I72</f>
        <v>5248</v>
      </c>
      <c r="R72" s="11" t="n">
        <f aca="false">P72-Q72</f>
        <v>3072</v>
      </c>
      <c r="S72" s="12" t="n">
        <f aca="false">R72/P72</f>
        <v>0.369230769230769</v>
      </c>
      <c r="T72" s="9" t="str">
        <f aca="false">IF(S72&gt;=0.3,"Alta",IF(S72&gt;=0.15,"Media","Baja"))</f>
        <v>Alta</v>
      </c>
      <c r="U72" s="9" t="str">
        <f aca="false">IF(P72&gt;=10000,"Grande",IF(P72&gt;=5000,"Mediana","Pequeña"))</f>
        <v>Mediana</v>
      </c>
      <c r="V72" s="9" t="str">
        <f aca="false">IF(AND(O72="Estratégico",S72&gt;=0.3),"Alta",IF(AND(O72="Estratégico",S72&lt;0.3),"Media",IF(AND(O72="Potencial",S72&gt;=0.3),"Media","Baja")))</f>
        <v>Media</v>
      </c>
    </row>
    <row r="73" customFormat="false" ht="14.25" hidden="false" customHeight="true" outlineLevel="0" collapsed="false">
      <c r="B73" s="5" t="s">
        <v>108</v>
      </c>
      <c r="C73" s="6" t="n">
        <v>46244</v>
      </c>
      <c r="D73" s="5" t="s">
        <v>41</v>
      </c>
      <c r="E73" s="7" t="s">
        <v>37</v>
      </c>
      <c r="F73" s="5" t="s">
        <v>43</v>
      </c>
      <c r="G73" s="5" t="n">
        <v>930</v>
      </c>
      <c r="H73" s="5" t="n">
        <v>7.1</v>
      </c>
      <c r="I73" s="5" t="n">
        <v>4.8</v>
      </c>
      <c r="J73" s="8" t="s">
        <v>30</v>
      </c>
      <c r="K73" s="9" t="str">
        <f aca="false">VLOOKUP(E73,'2. Productos'!$C$4:$F$8,2,FALSE())</f>
        <v>Cacao en grano</v>
      </c>
      <c r="L73" s="9" t="str">
        <f aca="false">VLOOKUP(E73,'2. Productos'!$C$4:$F$8,3,FALSE())</f>
        <v>Cacao</v>
      </c>
      <c r="M73" s="9" t="str">
        <f aca="false">VLOOKUP(F73,'3. Mercados'!$C$4:$F$9,2,FALSE())</f>
        <v>Norteamérica</v>
      </c>
      <c r="N73" s="10" t="n">
        <f aca="false">VLOOKUP(F73,'3. Mercados'!$C$4:$F$9,3,FALSE())</f>
        <v>0.08</v>
      </c>
      <c r="O73" s="9" t="str">
        <f aca="false">VLOOKUP(F73,'3. Mercados'!$C$4:$F$9,4,FALSE())</f>
        <v>Potencial</v>
      </c>
      <c r="P73" s="11" t="n">
        <f aca="false">G73*H73</f>
        <v>6603</v>
      </c>
      <c r="Q73" s="11" t="n">
        <f aca="false">G73*I73</f>
        <v>4464</v>
      </c>
      <c r="R73" s="11" t="n">
        <f aca="false">P73-Q73</f>
        <v>2139</v>
      </c>
      <c r="S73" s="12" t="n">
        <f aca="false">R73/P73</f>
        <v>0.323943661971831</v>
      </c>
      <c r="T73" s="9" t="str">
        <f aca="false">IF(S73&gt;=0.3,"Alta",IF(S73&gt;=0.15,"Media","Baja"))</f>
        <v>Alta</v>
      </c>
      <c r="U73" s="9" t="str">
        <f aca="false">IF(P73&gt;=10000,"Grande",IF(P73&gt;=5000,"Mediana","Pequeña"))</f>
        <v>Mediana</v>
      </c>
      <c r="V73" s="9" t="str">
        <f aca="false">IF(AND(O73="Estratégico",S73&gt;=0.3),"Alta",IF(AND(O73="Estratégico",S73&lt;0.3),"Media",IF(AND(O73="Potencial",S73&gt;=0.3),"Media","Baja")))</f>
        <v>Media</v>
      </c>
    </row>
    <row r="74" customFormat="false" ht="14.25" hidden="false" customHeight="true" outlineLevel="0" collapsed="false">
      <c r="B74" s="5" t="s">
        <v>109</v>
      </c>
      <c r="C74" s="6" t="n">
        <v>46253</v>
      </c>
      <c r="D74" s="5" t="s">
        <v>27</v>
      </c>
      <c r="E74" s="7" t="s">
        <v>23</v>
      </c>
      <c r="F74" s="5" t="s">
        <v>29</v>
      </c>
      <c r="G74" s="5" t="n">
        <v>1550</v>
      </c>
      <c r="H74" s="5" t="n">
        <v>4.8</v>
      </c>
      <c r="I74" s="5" t="n">
        <v>3.2</v>
      </c>
      <c r="J74" s="8" t="s">
        <v>30</v>
      </c>
      <c r="K74" s="9" t="str">
        <f aca="false">VLOOKUP(E74,'2. Productos'!$C$4:$F$8,2,FALSE())</f>
        <v>Miel natural</v>
      </c>
      <c r="L74" s="9" t="str">
        <f aca="false">VLOOKUP(E74,'2. Productos'!$C$4:$F$8,3,FALSE())</f>
        <v>Apícola</v>
      </c>
      <c r="M74" s="9" t="str">
        <f aca="false">VLOOKUP(F74,'3. Mercados'!$C$4:$F$9,2,FALSE())</f>
        <v>Norteamérica</v>
      </c>
      <c r="N74" s="10" t="n">
        <f aca="false">VLOOKUP(F74,'3. Mercados'!$C$4:$F$9,3,FALSE())</f>
        <v>0.05</v>
      </c>
      <c r="O74" s="9" t="str">
        <f aca="false">VLOOKUP(F74,'3. Mercados'!$C$4:$F$9,4,FALSE())</f>
        <v>Estratégico</v>
      </c>
      <c r="P74" s="11" t="n">
        <f aca="false">G74*H74</f>
        <v>7440</v>
      </c>
      <c r="Q74" s="11" t="n">
        <f aca="false">G74*I74</f>
        <v>4960</v>
      </c>
      <c r="R74" s="11" t="n">
        <f aca="false">P74-Q74</f>
        <v>2480</v>
      </c>
      <c r="S74" s="12" t="n">
        <f aca="false">R74/P74</f>
        <v>0.333333333333333</v>
      </c>
      <c r="T74" s="9" t="str">
        <f aca="false">IF(S74&gt;=0.3,"Alta",IF(S74&gt;=0.15,"Media","Baja"))</f>
        <v>Alta</v>
      </c>
      <c r="U74" s="9" t="str">
        <f aca="false">IF(P74&gt;=10000,"Grande",IF(P74&gt;=5000,"Mediana","Pequeña"))</f>
        <v>Mediana</v>
      </c>
      <c r="V74" s="9" t="str">
        <f aca="false">IF(AND(O74="Estratégico",S74&gt;=0.3),"Alta",IF(AND(O74="Estratégico",S74&lt;0.3),"Media",IF(AND(O74="Potencial",S74&gt;=0.3),"Media","Baja")))</f>
        <v>Alta</v>
      </c>
    </row>
    <row r="75" customFormat="false" ht="14.25" hidden="false" customHeight="true" outlineLevel="0" collapsed="false">
      <c r="B75" s="5" t="s">
        <v>110</v>
      </c>
      <c r="C75" s="6" t="n">
        <v>46262</v>
      </c>
      <c r="D75" s="5" t="s">
        <v>22</v>
      </c>
      <c r="E75" s="7" t="s">
        <v>33</v>
      </c>
      <c r="F75" s="5" t="s">
        <v>24</v>
      </c>
      <c r="G75" s="5" t="n">
        <v>690</v>
      </c>
      <c r="H75" s="5" t="n">
        <v>8.2</v>
      </c>
      <c r="I75" s="5" t="n">
        <v>5.9</v>
      </c>
      <c r="J75" s="8" t="s">
        <v>39</v>
      </c>
      <c r="K75" s="9" t="str">
        <f aca="false">VLOOKUP(E75,'2. Productos'!$C$4:$F$8,2,FALSE())</f>
        <v>Maní procesado</v>
      </c>
      <c r="L75" s="9" t="str">
        <f aca="false">VLOOKUP(E75,'2. Productos'!$C$4:$F$8,3,FALSE())</f>
        <v>Semillas</v>
      </c>
      <c r="M75" s="9" t="str">
        <f aca="false">VLOOKUP(F75,'3. Mercados'!$C$4:$F$9,2,FALSE())</f>
        <v>Centroamérica</v>
      </c>
      <c r="N75" s="10" t="n">
        <f aca="false">VLOOKUP(F75,'3. Mercados'!$C$4:$F$9,3,FALSE())</f>
        <v>0.03</v>
      </c>
      <c r="O75" s="9" t="str">
        <f aca="false">VLOOKUP(F75,'3. Mercados'!$C$4:$F$9,4,FALSE())</f>
        <v>Estratégico</v>
      </c>
      <c r="P75" s="11" t="n">
        <f aca="false">G75*H75</f>
        <v>5658</v>
      </c>
      <c r="Q75" s="11" t="n">
        <f aca="false">G75*I75</f>
        <v>4071</v>
      </c>
      <c r="R75" s="11" t="n">
        <f aca="false">P75-Q75</f>
        <v>1587</v>
      </c>
      <c r="S75" s="12" t="n">
        <f aca="false">R75/P75</f>
        <v>0.280487804878049</v>
      </c>
      <c r="T75" s="9" t="str">
        <f aca="false">IF(S75&gt;=0.3,"Alta",IF(S75&gt;=0.15,"Media","Baja"))</f>
        <v>Media</v>
      </c>
      <c r="U75" s="9" t="str">
        <f aca="false">IF(P75&gt;=10000,"Grande",IF(P75&gt;=5000,"Mediana","Pequeña"))</f>
        <v>Mediana</v>
      </c>
      <c r="V75" s="9" t="str">
        <f aca="false">IF(AND(O75="Estratégico",S75&gt;=0.3),"Alta",IF(AND(O75="Estratégico",S75&lt;0.3),"Media",IF(AND(O75="Potencial",S75&gt;=0.3),"Media","Baja")))</f>
        <v>Media</v>
      </c>
    </row>
    <row r="76" customFormat="false" ht="14.25" hidden="false" customHeight="true" outlineLevel="0" collapsed="false">
      <c r="B76" s="5" t="s">
        <v>111</v>
      </c>
      <c r="C76" s="6" t="n">
        <v>46271</v>
      </c>
      <c r="D76" s="5" t="s">
        <v>32</v>
      </c>
      <c r="E76" s="7" t="s">
        <v>28</v>
      </c>
      <c r="F76" s="5" t="s">
        <v>34</v>
      </c>
      <c r="G76" s="5" t="n">
        <v>1020</v>
      </c>
      <c r="H76" s="5" t="n">
        <v>6.5</v>
      </c>
      <c r="I76" s="5" t="n">
        <v>4.1</v>
      </c>
      <c r="J76" s="8" t="s">
        <v>25</v>
      </c>
      <c r="K76" s="9" t="str">
        <f aca="false">VLOOKUP(E76,'2. Productos'!$C$4:$F$8,2,FALSE())</f>
        <v>Café especial</v>
      </c>
      <c r="L76" s="9" t="str">
        <f aca="false">VLOOKUP(E76,'2. Productos'!$C$4:$F$8,3,FALSE())</f>
        <v>Café</v>
      </c>
      <c r="M76" s="9" t="str">
        <f aca="false">VLOOKUP(F76,'3. Mercados'!$C$4:$F$9,2,FALSE())</f>
        <v>Centroamérica</v>
      </c>
      <c r="N76" s="10" t="n">
        <f aca="false">VLOOKUP(F76,'3. Mercados'!$C$4:$F$9,3,FALSE())</f>
        <v>0.02</v>
      </c>
      <c r="O76" s="9" t="str">
        <f aca="false">VLOOKUP(F76,'3. Mercados'!$C$4:$F$9,4,FALSE())</f>
        <v>Estratégico</v>
      </c>
      <c r="P76" s="11" t="n">
        <f aca="false">G76*H76</f>
        <v>6630</v>
      </c>
      <c r="Q76" s="11" t="n">
        <f aca="false">G76*I76</f>
        <v>4182</v>
      </c>
      <c r="R76" s="11" t="n">
        <f aca="false">P76-Q76</f>
        <v>2448</v>
      </c>
      <c r="S76" s="12" t="n">
        <f aca="false">R76/P76</f>
        <v>0.369230769230769</v>
      </c>
      <c r="T76" s="9" t="str">
        <f aca="false">IF(S76&gt;=0.3,"Alta",IF(S76&gt;=0.15,"Media","Baja"))</f>
        <v>Alta</v>
      </c>
      <c r="U76" s="9" t="str">
        <f aca="false">IF(P76&gt;=10000,"Grande",IF(P76&gt;=5000,"Mediana","Pequeña"))</f>
        <v>Mediana</v>
      </c>
      <c r="V76" s="9" t="str">
        <f aca="false">IF(AND(O76="Estratégico",S76&gt;=0.3),"Alta",IF(AND(O76="Estratégico",S76&lt;0.3),"Media",IF(AND(O76="Potencial",S76&gt;=0.3),"Media","Baja")))</f>
        <v>Alta</v>
      </c>
    </row>
    <row r="77" customFormat="false" ht="14.25" hidden="false" customHeight="true" outlineLevel="0" collapsed="false">
      <c r="B77" s="5" t="s">
        <v>112</v>
      </c>
      <c r="C77" s="6" t="n">
        <v>46280</v>
      </c>
      <c r="D77" s="5" t="s">
        <v>36</v>
      </c>
      <c r="E77" s="7" t="s">
        <v>42</v>
      </c>
      <c r="F77" s="5" t="s">
        <v>38</v>
      </c>
      <c r="G77" s="5" t="n">
        <v>610</v>
      </c>
      <c r="H77" s="5" t="n">
        <v>12.5</v>
      </c>
      <c r="I77" s="5" t="n">
        <v>8.7</v>
      </c>
      <c r="J77" s="8" t="s">
        <v>30</v>
      </c>
      <c r="K77" s="9" t="str">
        <f aca="false">VLOOKUP(E77,'2. Productos'!$C$4:$F$8,2,FALSE())</f>
        <v>Aceite de ajonjolí</v>
      </c>
      <c r="L77" s="9" t="str">
        <f aca="false">VLOOKUP(E77,'2. Productos'!$C$4:$F$8,3,FALSE())</f>
        <v>Aceites</v>
      </c>
      <c r="M77" s="9" t="str">
        <f aca="false">VLOOKUP(F77,'3. Mercados'!$C$4:$F$9,2,FALSE())</f>
        <v>Europa</v>
      </c>
      <c r="N77" s="10" t="n">
        <f aca="false">VLOOKUP(F77,'3. Mercados'!$C$4:$F$9,3,FALSE())</f>
        <v>0.1</v>
      </c>
      <c r="O77" s="9" t="str">
        <f aca="false">VLOOKUP(F77,'3. Mercados'!$C$4:$F$9,4,FALSE())</f>
        <v>Potencial</v>
      </c>
      <c r="P77" s="11" t="n">
        <f aca="false">G77*H77</f>
        <v>7625</v>
      </c>
      <c r="Q77" s="11" t="n">
        <f aca="false">G77*I77</f>
        <v>5307</v>
      </c>
      <c r="R77" s="11" t="n">
        <f aca="false">P77-Q77</f>
        <v>2318</v>
      </c>
      <c r="S77" s="12" t="n">
        <f aca="false">R77/P77</f>
        <v>0.304</v>
      </c>
      <c r="T77" s="9" t="str">
        <f aca="false">IF(S77&gt;=0.3,"Alta",IF(S77&gt;=0.15,"Media","Baja"))</f>
        <v>Alta</v>
      </c>
      <c r="U77" s="9" t="str">
        <f aca="false">IF(P77&gt;=10000,"Grande",IF(P77&gt;=5000,"Mediana","Pequeña"))</f>
        <v>Mediana</v>
      </c>
      <c r="V77" s="9" t="str">
        <f aca="false">IF(AND(O77="Estratégico",S77&gt;=0.3),"Alta",IF(AND(O77="Estratégico",S77&lt;0.3),"Media",IF(AND(O77="Potencial",S77&gt;=0.3),"Media","Baja")))</f>
        <v>Media</v>
      </c>
    </row>
    <row r="78" customFormat="false" ht="14.25" hidden="false" customHeight="true" outlineLevel="0" collapsed="false">
      <c r="B78" s="5" t="s">
        <v>113</v>
      </c>
      <c r="C78" s="6" t="n">
        <v>46289</v>
      </c>
      <c r="D78" s="5" t="s">
        <v>41</v>
      </c>
      <c r="E78" s="7" t="s">
        <v>23</v>
      </c>
      <c r="F78" s="5" t="s">
        <v>43</v>
      </c>
      <c r="G78" s="5" t="n">
        <v>840</v>
      </c>
      <c r="H78" s="5" t="n">
        <v>4.8</v>
      </c>
      <c r="I78" s="5" t="n">
        <v>3.2</v>
      </c>
      <c r="J78" s="8" t="s">
        <v>25</v>
      </c>
      <c r="K78" s="9" t="str">
        <f aca="false">VLOOKUP(E78,'2. Productos'!$C$4:$F$8,2,FALSE())</f>
        <v>Miel natural</v>
      </c>
      <c r="L78" s="9" t="str">
        <f aca="false">VLOOKUP(E78,'2. Productos'!$C$4:$F$8,3,FALSE())</f>
        <v>Apícola</v>
      </c>
      <c r="M78" s="9" t="str">
        <f aca="false">VLOOKUP(F78,'3. Mercados'!$C$4:$F$9,2,FALSE())</f>
        <v>Norteamérica</v>
      </c>
      <c r="N78" s="10" t="n">
        <f aca="false">VLOOKUP(F78,'3. Mercados'!$C$4:$F$9,3,FALSE())</f>
        <v>0.08</v>
      </c>
      <c r="O78" s="9" t="str">
        <f aca="false">VLOOKUP(F78,'3. Mercados'!$C$4:$F$9,4,FALSE())</f>
        <v>Potencial</v>
      </c>
      <c r="P78" s="11" t="n">
        <f aca="false">G78*H78</f>
        <v>4032</v>
      </c>
      <c r="Q78" s="11" t="n">
        <f aca="false">G78*I78</f>
        <v>2688</v>
      </c>
      <c r="R78" s="11" t="n">
        <f aca="false">P78-Q78</f>
        <v>1344</v>
      </c>
      <c r="S78" s="12" t="n">
        <f aca="false">R78/P78</f>
        <v>0.333333333333333</v>
      </c>
      <c r="T78" s="9" t="str">
        <f aca="false">IF(S78&gt;=0.3,"Alta",IF(S78&gt;=0.15,"Media","Baja"))</f>
        <v>Alta</v>
      </c>
      <c r="U78" s="9" t="str">
        <f aca="false">IF(P78&gt;=10000,"Grande",IF(P78&gt;=5000,"Mediana","Pequeña"))</f>
        <v>Pequeña</v>
      </c>
      <c r="V78" s="9" t="str">
        <f aca="false">IF(AND(O78="Estratégico",S78&gt;=0.3),"Alta",IF(AND(O78="Estratégico",S78&lt;0.3),"Media",IF(AND(O78="Potencial",S78&gt;=0.3),"Media","Baja")))</f>
        <v>Media</v>
      </c>
    </row>
    <row r="79" customFormat="false" ht="14.25" hidden="false" customHeight="true" outlineLevel="0" collapsed="false">
      <c r="B79" s="5" t="s">
        <v>114</v>
      </c>
      <c r="C79" s="6" t="n">
        <v>46298</v>
      </c>
      <c r="D79" s="5" t="s">
        <v>27</v>
      </c>
      <c r="E79" s="7" t="s">
        <v>37</v>
      </c>
      <c r="F79" s="5" t="s">
        <v>29</v>
      </c>
      <c r="G79" s="5" t="n">
        <v>1210</v>
      </c>
      <c r="H79" s="5" t="n">
        <v>7.1</v>
      </c>
      <c r="I79" s="5" t="n">
        <v>4.8</v>
      </c>
      <c r="J79" s="8" t="s">
        <v>30</v>
      </c>
      <c r="K79" s="9" t="str">
        <f aca="false">VLOOKUP(E79,'2. Productos'!$C$4:$F$8,2,FALSE())</f>
        <v>Cacao en grano</v>
      </c>
      <c r="L79" s="9" t="str">
        <f aca="false">VLOOKUP(E79,'2. Productos'!$C$4:$F$8,3,FALSE())</f>
        <v>Cacao</v>
      </c>
      <c r="M79" s="9" t="str">
        <f aca="false">VLOOKUP(F79,'3. Mercados'!$C$4:$F$9,2,FALSE())</f>
        <v>Norteamérica</v>
      </c>
      <c r="N79" s="10" t="n">
        <f aca="false">VLOOKUP(F79,'3. Mercados'!$C$4:$F$9,3,FALSE())</f>
        <v>0.05</v>
      </c>
      <c r="O79" s="9" t="str">
        <f aca="false">VLOOKUP(F79,'3. Mercados'!$C$4:$F$9,4,FALSE())</f>
        <v>Estratégico</v>
      </c>
      <c r="P79" s="11" t="n">
        <f aca="false">G79*H79</f>
        <v>8591</v>
      </c>
      <c r="Q79" s="11" t="n">
        <f aca="false">G79*I79</f>
        <v>5808</v>
      </c>
      <c r="R79" s="11" t="n">
        <f aca="false">P79-Q79</f>
        <v>2783</v>
      </c>
      <c r="S79" s="12" t="n">
        <f aca="false">R79/P79</f>
        <v>0.323943661971831</v>
      </c>
      <c r="T79" s="9" t="str">
        <f aca="false">IF(S79&gt;=0.3,"Alta",IF(S79&gt;=0.15,"Media","Baja"))</f>
        <v>Alta</v>
      </c>
      <c r="U79" s="9" t="str">
        <f aca="false">IF(P79&gt;=10000,"Grande",IF(P79&gt;=5000,"Mediana","Pequeña"))</f>
        <v>Mediana</v>
      </c>
      <c r="V79" s="9" t="str">
        <f aca="false">IF(AND(O79="Estratégico",S79&gt;=0.3),"Alta",IF(AND(O79="Estratégico",S79&lt;0.3),"Media",IF(AND(O79="Potencial",S79&gt;=0.3),"Media","Baja")))</f>
        <v>Alta</v>
      </c>
    </row>
    <row r="80" customFormat="false" ht="14.25" hidden="false" customHeight="true" outlineLevel="0" collapsed="false">
      <c r="B80" s="5" t="s">
        <v>115</v>
      </c>
      <c r="C80" s="6" t="n">
        <v>46307</v>
      </c>
      <c r="D80" s="5" t="s">
        <v>22</v>
      </c>
      <c r="E80" s="7" t="s">
        <v>28</v>
      </c>
      <c r="F80" s="5" t="s">
        <v>24</v>
      </c>
      <c r="G80" s="5" t="n">
        <v>1080</v>
      </c>
      <c r="H80" s="5" t="n">
        <v>6.5</v>
      </c>
      <c r="I80" s="5" t="n">
        <v>4.1</v>
      </c>
      <c r="J80" s="8" t="s">
        <v>30</v>
      </c>
      <c r="K80" s="9" t="str">
        <f aca="false">VLOOKUP(E80,'2. Productos'!$C$4:$F$8,2,FALSE())</f>
        <v>Café especial</v>
      </c>
      <c r="L80" s="9" t="str">
        <f aca="false">VLOOKUP(E80,'2. Productos'!$C$4:$F$8,3,FALSE())</f>
        <v>Café</v>
      </c>
      <c r="M80" s="9" t="str">
        <f aca="false">VLOOKUP(F80,'3. Mercados'!$C$4:$F$9,2,FALSE())</f>
        <v>Centroamérica</v>
      </c>
      <c r="N80" s="10" t="n">
        <f aca="false">VLOOKUP(F80,'3. Mercados'!$C$4:$F$9,3,FALSE())</f>
        <v>0.03</v>
      </c>
      <c r="O80" s="9" t="str">
        <f aca="false">VLOOKUP(F80,'3. Mercados'!$C$4:$F$9,4,FALSE())</f>
        <v>Estratégico</v>
      </c>
      <c r="P80" s="11" t="n">
        <f aca="false">G80*H80</f>
        <v>7020</v>
      </c>
      <c r="Q80" s="11" t="n">
        <f aca="false">G80*I80</f>
        <v>4428</v>
      </c>
      <c r="R80" s="11" t="n">
        <f aca="false">P80-Q80</f>
        <v>2592</v>
      </c>
      <c r="S80" s="12" t="n">
        <f aca="false">R80/P80</f>
        <v>0.369230769230769</v>
      </c>
      <c r="T80" s="9" t="str">
        <f aca="false">IF(S80&gt;=0.3,"Alta",IF(S80&gt;=0.15,"Media","Baja"))</f>
        <v>Alta</v>
      </c>
      <c r="U80" s="9" t="str">
        <f aca="false">IF(P80&gt;=10000,"Grande",IF(P80&gt;=5000,"Mediana","Pequeña"))</f>
        <v>Mediana</v>
      </c>
      <c r="V80" s="9" t="str">
        <f aca="false">IF(AND(O80="Estratégico",S80&gt;=0.3),"Alta",IF(AND(O80="Estratégico",S80&lt;0.3),"Media",IF(AND(O80="Potencial",S80&gt;=0.3),"Media","Baja")))</f>
        <v>Alta</v>
      </c>
    </row>
    <row r="81" customFormat="false" ht="14.25" hidden="false" customHeight="true" outlineLevel="0" collapsed="false">
      <c r="B81" s="5" t="s">
        <v>116</v>
      </c>
      <c r="C81" s="6" t="n">
        <v>46316</v>
      </c>
      <c r="D81" s="5" t="s">
        <v>32</v>
      </c>
      <c r="E81" s="7" t="s">
        <v>33</v>
      </c>
      <c r="F81" s="5" t="s">
        <v>34</v>
      </c>
      <c r="G81" s="5" t="n">
        <v>720</v>
      </c>
      <c r="H81" s="5" t="n">
        <v>8.2</v>
      </c>
      <c r="I81" s="5" t="n">
        <v>5.9</v>
      </c>
      <c r="J81" s="8" t="s">
        <v>25</v>
      </c>
      <c r="K81" s="9" t="str">
        <f aca="false">VLOOKUP(E81,'2. Productos'!$C$4:$F$8,2,FALSE())</f>
        <v>Maní procesado</v>
      </c>
      <c r="L81" s="9" t="str">
        <f aca="false">VLOOKUP(E81,'2. Productos'!$C$4:$F$8,3,FALSE())</f>
        <v>Semillas</v>
      </c>
      <c r="M81" s="9" t="str">
        <f aca="false">VLOOKUP(F81,'3. Mercados'!$C$4:$F$9,2,FALSE())</f>
        <v>Centroamérica</v>
      </c>
      <c r="N81" s="10" t="n">
        <f aca="false">VLOOKUP(F81,'3. Mercados'!$C$4:$F$9,3,FALSE())</f>
        <v>0.02</v>
      </c>
      <c r="O81" s="9" t="str">
        <f aca="false">VLOOKUP(F81,'3. Mercados'!$C$4:$F$9,4,FALSE())</f>
        <v>Estratégico</v>
      </c>
      <c r="P81" s="11" t="n">
        <f aca="false">G81*H81</f>
        <v>5904</v>
      </c>
      <c r="Q81" s="11" t="n">
        <f aca="false">G81*I81</f>
        <v>4248</v>
      </c>
      <c r="R81" s="11" t="n">
        <f aca="false">P81-Q81</f>
        <v>1656</v>
      </c>
      <c r="S81" s="12" t="n">
        <f aca="false">R81/P81</f>
        <v>0.280487804878049</v>
      </c>
      <c r="T81" s="9" t="str">
        <f aca="false">IF(S81&gt;=0.3,"Alta",IF(S81&gt;=0.15,"Media","Baja"))</f>
        <v>Media</v>
      </c>
      <c r="U81" s="9" t="str">
        <f aca="false">IF(P81&gt;=10000,"Grande",IF(P81&gt;=5000,"Mediana","Pequeña"))</f>
        <v>Mediana</v>
      </c>
      <c r="V81" s="9" t="str">
        <f aca="false">IF(AND(O81="Estratégico",S81&gt;=0.3),"Alta",IF(AND(O81="Estratégico",S81&lt;0.3),"Media",IF(AND(O81="Potencial",S81&gt;=0.3),"Media","Baja")))</f>
        <v>Media</v>
      </c>
    </row>
    <row r="82" customFormat="false" ht="14.25" hidden="false" customHeight="true" outlineLevel="0" collapsed="false">
      <c r="B82" s="5" t="s">
        <v>117</v>
      </c>
      <c r="C82" s="6" t="n">
        <v>46325</v>
      </c>
      <c r="D82" s="5" t="s">
        <v>36</v>
      </c>
      <c r="E82" s="7" t="s">
        <v>23</v>
      </c>
      <c r="F82" s="5" t="s">
        <v>38</v>
      </c>
      <c r="G82" s="5" t="n">
        <v>1160</v>
      </c>
      <c r="H82" s="5" t="n">
        <v>4.8</v>
      </c>
      <c r="I82" s="5" t="n">
        <v>3.2</v>
      </c>
      <c r="J82" s="8" t="s">
        <v>39</v>
      </c>
      <c r="K82" s="9" t="str">
        <f aca="false">VLOOKUP(E82,'2. Productos'!$C$4:$F$8,2,FALSE())</f>
        <v>Miel natural</v>
      </c>
      <c r="L82" s="9" t="str">
        <f aca="false">VLOOKUP(E82,'2. Productos'!$C$4:$F$8,3,FALSE())</f>
        <v>Apícola</v>
      </c>
      <c r="M82" s="9" t="str">
        <f aca="false">VLOOKUP(F82,'3. Mercados'!$C$4:$F$9,2,FALSE())</f>
        <v>Europa</v>
      </c>
      <c r="N82" s="10" t="n">
        <f aca="false">VLOOKUP(F82,'3. Mercados'!$C$4:$F$9,3,FALSE())</f>
        <v>0.1</v>
      </c>
      <c r="O82" s="9" t="str">
        <f aca="false">VLOOKUP(F82,'3. Mercados'!$C$4:$F$9,4,FALSE())</f>
        <v>Potencial</v>
      </c>
      <c r="P82" s="11" t="n">
        <f aca="false">G82*H82</f>
        <v>5568</v>
      </c>
      <c r="Q82" s="11" t="n">
        <f aca="false">G82*I82</f>
        <v>3712</v>
      </c>
      <c r="R82" s="11" t="n">
        <f aca="false">P82-Q82</f>
        <v>1856</v>
      </c>
      <c r="S82" s="12" t="n">
        <f aca="false">R82/P82</f>
        <v>0.333333333333333</v>
      </c>
      <c r="T82" s="9" t="str">
        <f aca="false">IF(S82&gt;=0.3,"Alta",IF(S82&gt;=0.15,"Media","Baja"))</f>
        <v>Alta</v>
      </c>
      <c r="U82" s="9" t="str">
        <f aca="false">IF(P82&gt;=10000,"Grande",IF(P82&gt;=5000,"Mediana","Pequeña"))</f>
        <v>Mediana</v>
      </c>
      <c r="V82" s="9" t="str">
        <f aca="false">IF(AND(O82="Estratégico",S82&gt;=0.3),"Alta",IF(AND(O82="Estratégico",S82&lt;0.3),"Media",IF(AND(O82="Potencial",S82&gt;=0.3),"Media","Baja")))</f>
        <v>Media</v>
      </c>
    </row>
    <row r="83" customFormat="false" ht="14.25" hidden="false" customHeight="true" outlineLevel="0" collapsed="false">
      <c r="B83" s="5" t="s">
        <v>118</v>
      </c>
      <c r="C83" s="6" t="n">
        <v>46334</v>
      </c>
      <c r="D83" s="5" t="s">
        <v>41</v>
      </c>
      <c r="E83" s="7" t="s">
        <v>42</v>
      </c>
      <c r="F83" s="5" t="s">
        <v>43</v>
      </c>
      <c r="G83" s="5" t="n">
        <v>560</v>
      </c>
      <c r="H83" s="5" t="n">
        <v>12.5</v>
      </c>
      <c r="I83" s="5" t="n">
        <v>8.7</v>
      </c>
      <c r="J83" s="8" t="s">
        <v>30</v>
      </c>
      <c r="K83" s="9" t="str">
        <f aca="false">VLOOKUP(E83,'2. Productos'!$C$4:$F$8,2,FALSE())</f>
        <v>Aceite de ajonjolí</v>
      </c>
      <c r="L83" s="9" t="str">
        <f aca="false">VLOOKUP(E83,'2. Productos'!$C$4:$F$8,3,FALSE())</f>
        <v>Aceites</v>
      </c>
      <c r="M83" s="9" t="str">
        <f aca="false">VLOOKUP(F83,'3. Mercados'!$C$4:$F$9,2,FALSE())</f>
        <v>Norteamérica</v>
      </c>
      <c r="N83" s="10" t="n">
        <f aca="false">VLOOKUP(F83,'3. Mercados'!$C$4:$F$9,3,FALSE())</f>
        <v>0.08</v>
      </c>
      <c r="O83" s="9" t="str">
        <f aca="false">VLOOKUP(F83,'3. Mercados'!$C$4:$F$9,4,FALSE())</f>
        <v>Potencial</v>
      </c>
      <c r="P83" s="11" t="n">
        <f aca="false">G83*H83</f>
        <v>7000</v>
      </c>
      <c r="Q83" s="11" t="n">
        <f aca="false">G83*I83</f>
        <v>4872</v>
      </c>
      <c r="R83" s="11" t="n">
        <f aca="false">P83-Q83</f>
        <v>2128</v>
      </c>
      <c r="S83" s="12" t="n">
        <f aca="false">R83/P83</f>
        <v>0.304</v>
      </c>
      <c r="T83" s="9" t="str">
        <f aca="false">IF(S83&gt;=0.3,"Alta",IF(S83&gt;=0.15,"Media","Baja"))</f>
        <v>Alta</v>
      </c>
      <c r="U83" s="9" t="str">
        <f aca="false">IF(P83&gt;=10000,"Grande",IF(P83&gt;=5000,"Mediana","Pequeña"))</f>
        <v>Mediana</v>
      </c>
      <c r="V83" s="9" t="str">
        <f aca="false">IF(AND(O83="Estratégico",S83&gt;=0.3),"Alta",IF(AND(O83="Estratégico",S83&lt;0.3),"Media",IF(AND(O83="Potencial",S83&gt;=0.3),"Media","Baja")))</f>
        <v>Media</v>
      </c>
    </row>
    <row r="84" customFormat="false" ht="14.25" hidden="false" customHeight="true" outlineLevel="0" collapsed="false">
      <c r="B84" s="5" t="s">
        <v>119</v>
      </c>
      <c r="C84" s="6" t="n">
        <v>46343</v>
      </c>
      <c r="D84" s="5" t="s">
        <v>27</v>
      </c>
      <c r="E84" s="7" t="s">
        <v>28</v>
      </c>
      <c r="F84" s="5" t="s">
        <v>29</v>
      </c>
      <c r="G84" s="5" t="n">
        <v>1380</v>
      </c>
      <c r="H84" s="5" t="n">
        <v>6.5</v>
      </c>
      <c r="I84" s="5" t="n">
        <v>4.1</v>
      </c>
      <c r="J84" s="8" t="s">
        <v>25</v>
      </c>
      <c r="K84" s="9" t="str">
        <f aca="false">VLOOKUP(E84,'2. Productos'!$C$4:$F$8,2,FALSE())</f>
        <v>Café especial</v>
      </c>
      <c r="L84" s="9" t="str">
        <f aca="false">VLOOKUP(E84,'2. Productos'!$C$4:$F$8,3,FALSE())</f>
        <v>Café</v>
      </c>
      <c r="M84" s="9" t="str">
        <f aca="false">VLOOKUP(F84,'3. Mercados'!$C$4:$F$9,2,FALSE())</f>
        <v>Norteamérica</v>
      </c>
      <c r="N84" s="10" t="n">
        <f aca="false">VLOOKUP(F84,'3. Mercados'!$C$4:$F$9,3,FALSE())</f>
        <v>0.05</v>
      </c>
      <c r="O84" s="9" t="str">
        <f aca="false">VLOOKUP(F84,'3. Mercados'!$C$4:$F$9,4,FALSE())</f>
        <v>Estratégico</v>
      </c>
      <c r="P84" s="11" t="n">
        <f aca="false">G84*H84</f>
        <v>8970</v>
      </c>
      <c r="Q84" s="11" t="n">
        <f aca="false">G84*I84</f>
        <v>5658</v>
      </c>
      <c r="R84" s="11" t="n">
        <f aca="false">P84-Q84</f>
        <v>3312</v>
      </c>
      <c r="S84" s="12" t="n">
        <f aca="false">R84/P84</f>
        <v>0.369230769230769</v>
      </c>
      <c r="T84" s="9" t="str">
        <f aca="false">IF(S84&gt;=0.3,"Alta",IF(S84&gt;=0.15,"Media","Baja"))</f>
        <v>Alta</v>
      </c>
      <c r="U84" s="9" t="str">
        <f aca="false">IF(P84&gt;=10000,"Grande",IF(P84&gt;=5000,"Mediana","Pequeña"))</f>
        <v>Mediana</v>
      </c>
      <c r="V84" s="9" t="str">
        <f aca="false">IF(AND(O84="Estratégico",S84&gt;=0.3),"Alta",IF(AND(O84="Estratégico",S84&lt;0.3),"Media",IF(AND(O84="Potencial",S84&gt;=0.3),"Media","Baja")))</f>
        <v>Alta</v>
      </c>
    </row>
    <row r="85" customFormat="false" ht="14.25" hidden="false" customHeight="true" outlineLevel="0" collapsed="false">
      <c r="B85" s="5" t="s">
        <v>120</v>
      </c>
      <c r="C85" s="6" t="n">
        <v>46352</v>
      </c>
      <c r="D85" s="5" t="s">
        <v>22</v>
      </c>
      <c r="E85" s="7" t="s">
        <v>37</v>
      </c>
      <c r="F85" s="5" t="s">
        <v>24</v>
      </c>
      <c r="G85" s="5" t="n">
        <v>940</v>
      </c>
      <c r="H85" s="5" t="n">
        <v>7.1</v>
      </c>
      <c r="I85" s="5" t="n">
        <v>4.8</v>
      </c>
      <c r="J85" s="8" t="s">
        <v>30</v>
      </c>
      <c r="K85" s="9" t="str">
        <f aca="false">VLOOKUP(E85,'2. Productos'!$C$4:$F$8,2,FALSE())</f>
        <v>Cacao en grano</v>
      </c>
      <c r="L85" s="9" t="str">
        <f aca="false">VLOOKUP(E85,'2. Productos'!$C$4:$F$8,3,FALSE())</f>
        <v>Cacao</v>
      </c>
      <c r="M85" s="9" t="str">
        <f aca="false">VLOOKUP(F85,'3. Mercados'!$C$4:$F$9,2,FALSE())</f>
        <v>Centroamérica</v>
      </c>
      <c r="N85" s="10" t="n">
        <f aca="false">VLOOKUP(F85,'3. Mercados'!$C$4:$F$9,3,FALSE())</f>
        <v>0.03</v>
      </c>
      <c r="O85" s="9" t="str">
        <f aca="false">VLOOKUP(F85,'3. Mercados'!$C$4:$F$9,4,FALSE())</f>
        <v>Estratégico</v>
      </c>
      <c r="P85" s="11" t="n">
        <f aca="false">G85*H85</f>
        <v>6674</v>
      </c>
      <c r="Q85" s="11" t="n">
        <f aca="false">G85*I85</f>
        <v>4512</v>
      </c>
      <c r="R85" s="11" t="n">
        <f aca="false">P85-Q85</f>
        <v>2162</v>
      </c>
      <c r="S85" s="12" t="n">
        <f aca="false">R85/P85</f>
        <v>0.323943661971831</v>
      </c>
      <c r="T85" s="9" t="str">
        <f aca="false">IF(S85&gt;=0.3,"Alta",IF(S85&gt;=0.15,"Media","Baja"))</f>
        <v>Alta</v>
      </c>
      <c r="U85" s="9" t="str">
        <f aca="false">IF(P85&gt;=10000,"Grande",IF(P85&gt;=5000,"Mediana","Pequeña"))</f>
        <v>Mediana</v>
      </c>
      <c r="V85" s="9" t="str">
        <f aca="false">IF(AND(O85="Estratégico",S85&gt;=0.3),"Alta",IF(AND(O85="Estratégico",S85&lt;0.3),"Media",IF(AND(O85="Potencial",S85&gt;=0.3),"Media","Baja")))</f>
        <v>Alta</v>
      </c>
    </row>
    <row r="86" customFormat="false" ht="14.25" hidden="false" customHeight="true" outlineLevel="0" collapsed="false">
      <c r="B86" s="5" t="s">
        <v>121</v>
      </c>
      <c r="C86" s="6" t="n">
        <v>46361</v>
      </c>
      <c r="D86" s="5" t="s">
        <v>32</v>
      </c>
      <c r="E86" s="7" t="s">
        <v>23</v>
      </c>
      <c r="F86" s="5" t="s">
        <v>34</v>
      </c>
      <c r="G86" s="5" t="n">
        <v>870</v>
      </c>
      <c r="H86" s="5" t="n">
        <v>4.8</v>
      </c>
      <c r="I86" s="5" t="n">
        <v>3.2</v>
      </c>
      <c r="J86" s="8" t="s">
        <v>25</v>
      </c>
      <c r="K86" s="9" t="str">
        <f aca="false">VLOOKUP(E86,'2. Productos'!$C$4:$F$8,2,FALSE())</f>
        <v>Miel natural</v>
      </c>
      <c r="L86" s="9" t="str">
        <f aca="false">VLOOKUP(E86,'2. Productos'!$C$4:$F$8,3,FALSE())</f>
        <v>Apícola</v>
      </c>
      <c r="M86" s="9" t="str">
        <f aca="false">VLOOKUP(F86,'3. Mercados'!$C$4:$F$9,2,FALSE())</f>
        <v>Centroamérica</v>
      </c>
      <c r="N86" s="10" t="n">
        <f aca="false">VLOOKUP(F86,'3. Mercados'!$C$4:$F$9,3,FALSE())</f>
        <v>0.02</v>
      </c>
      <c r="O86" s="9" t="str">
        <f aca="false">VLOOKUP(F86,'3. Mercados'!$C$4:$F$9,4,FALSE())</f>
        <v>Estratégico</v>
      </c>
      <c r="P86" s="11" t="n">
        <f aca="false">G86*H86</f>
        <v>4176</v>
      </c>
      <c r="Q86" s="11" t="n">
        <f aca="false">G86*I86</f>
        <v>2784</v>
      </c>
      <c r="R86" s="11" t="n">
        <f aca="false">P86-Q86</f>
        <v>1392</v>
      </c>
      <c r="S86" s="12" t="n">
        <f aca="false">R86/P86</f>
        <v>0.333333333333333</v>
      </c>
      <c r="T86" s="9" t="str">
        <f aca="false">IF(S86&gt;=0.3,"Alta",IF(S86&gt;=0.15,"Media","Baja"))</f>
        <v>Alta</v>
      </c>
      <c r="U86" s="9" t="str">
        <f aca="false">IF(P86&gt;=10000,"Grande",IF(P86&gt;=5000,"Mediana","Pequeña"))</f>
        <v>Pequeña</v>
      </c>
      <c r="V86" s="9" t="str">
        <f aca="false">IF(AND(O86="Estratégico",S86&gt;=0.3),"Alta",IF(AND(O86="Estratégico",S86&lt;0.3),"Media",IF(AND(O86="Potencial",S86&gt;=0.3),"Media","Baja")))</f>
        <v>Alta</v>
      </c>
    </row>
    <row r="87" customFormat="false" ht="14.25" hidden="false" customHeight="true" outlineLevel="0" collapsed="false">
      <c r="B87" s="5" t="s">
        <v>122</v>
      </c>
      <c r="C87" s="6" t="n">
        <v>46370</v>
      </c>
      <c r="D87" s="5" t="s">
        <v>36</v>
      </c>
      <c r="E87" s="7" t="s">
        <v>33</v>
      </c>
      <c r="F87" s="5" t="s">
        <v>38</v>
      </c>
      <c r="G87" s="5" t="n">
        <v>810</v>
      </c>
      <c r="H87" s="5" t="n">
        <v>8.2</v>
      </c>
      <c r="I87" s="5" t="n">
        <v>5.9</v>
      </c>
      <c r="J87" s="8" t="s">
        <v>30</v>
      </c>
      <c r="K87" s="9" t="str">
        <f aca="false">VLOOKUP(E87,'2. Productos'!$C$4:$F$8,2,FALSE())</f>
        <v>Maní procesado</v>
      </c>
      <c r="L87" s="9" t="str">
        <f aca="false">VLOOKUP(E87,'2. Productos'!$C$4:$F$8,3,FALSE())</f>
        <v>Semillas</v>
      </c>
      <c r="M87" s="9" t="str">
        <f aca="false">VLOOKUP(F87,'3. Mercados'!$C$4:$F$9,2,FALSE())</f>
        <v>Europa</v>
      </c>
      <c r="N87" s="10" t="n">
        <f aca="false">VLOOKUP(F87,'3. Mercados'!$C$4:$F$9,3,FALSE())</f>
        <v>0.1</v>
      </c>
      <c r="O87" s="9" t="str">
        <f aca="false">VLOOKUP(F87,'3. Mercados'!$C$4:$F$9,4,FALSE())</f>
        <v>Potencial</v>
      </c>
      <c r="P87" s="11" t="n">
        <f aca="false">G87*H87</f>
        <v>6642</v>
      </c>
      <c r="Q87" s="11" t="n">
        <f aca="false">G87*I87</f>
        <v>4779</v>
      </c>
      <c r="R87" s="11" t="n">
        <f aca="false">P87-Q87</f>
        <v>1863</v>
      </c>
      <c r="S87" s="12" t="n">
        <f aca="false">R87/P87</f>
        <v>0.280487804878049</v>
      </c>
      <c r="T87" s="9" t="str">
        <f aca="false">IF(S87&gt;=0.3,"Alta",IF(S87&gt;=0.15,"Media","Baja"))</f>
        <v>Media</v>
      </c>
      <c r="U87" s="9" t="str">
        <f aca="false">IF(P87&gt;=10000,"Grande",IF(P87&gt;=5000,"Mediana","Pequeña"))</f>
        <v>Mediana</v>
      </c>
      <c r="V87" s="9" t="str">
        <f aca="false">IF(AND(O87="Estratégico",S87&gt;=0.3),"Alta",IF(AND(O87="Estratégico",S87&lt;0.3),"Media",IF(AND(O87="Potencial",S87&gt;=0.3),"Media","Baja")))</f>
        <v>Baja</v>
      </c>
    </row>
    <row r="88" customFormat="false" ht="14.25" hidden="false" customHeight="true" outlineLevel="0" collapsed="false">
      <c r="B88" s="5" t="s">
        <v>123</v>
      </c>
      <c r="C88" s="6" t="n">
        <v>46379</v>
      </c>
      <c r="D88" s="5" t="s">
        <v>41</v>
      </c>
      <c r="E88" s="7" t="s">
        <v>28</v>
      </c>
      <c r="F88" s="5" t="s">
        <v>43</v>
      </c>
      <c r="G88" s="5" t="n">
        <v>990</v>
      </c>
      <c r="H88" s="5" t="n">
        <v>6.5</v>
      </c>
      <c r="I88" s="5" t="n">
        <v>4.1</v>
      </c>
      <c r="J88" s="8" t="s">
        <v>39</v>
      </c>
      <c r="K88" s="9" t="str">
        <f aca="false">VLOOKUP(E88,'2. Productos'!$C$4:$F$8,2,FALSE())</f>
        <v>Café especial</v>
      </c>
      <c r="L88" s="9" t="str">
        <f aca="false">VLOOKUP(E88,'2. Productos'!$C$4:$F$8,3,FALSE())</f>
        <v>Café</v>
      </c>
      <c r="M88" s="9" t="str">
        <f aca="false">VLOOKUP(F88,'3. Mercados'!$C$4:$F$9,2,FALSE())</f>
        <v>Norteamérica</v>
      </c>
      <c r="N88" s="10" t="n">
        <f aca="false">VLOOKUP(F88,'3. Mercados'!$C$4:$F$9,3,FALSE())</f>
        <v>0.08</v>
      </c>
      <c r="O88" s="9" t="str">
        <f aca="false">VLOOKUP(F88,'3. Mercados'!$C$4:$F$9,4,FALSE())</f>
        <v>Potencial</v>
      </c>
      <c r="P88" s="11" t="n">
        <f aca="false">G88*H88</f>
        <v>6435</v>
      </c>
      <c r="Q88" s="11" t="n">
        <f aca="false">G88*I88</f>
        <v>4059</v>
      </c>
      <c r="R88" s="11" t="n">
        <f aca="false">P88-Q88</f>
        <v>2376</v>
      </c>
      <c r="S88" s="12" t="n">
        <f aca="false">R88/P88</f>
        <v>0.369230769230769</v>
      </c>
      <c r="T88" s="9" t="str">
        <f aca="false">IF(S88&gt;=0.3,"Alta",IF(S88&gt;=0.15,"Media","Baja"))</f>
        <v>Alta</v>
      </c>
      <c r="U88" s="9" t="str">
        <f aca="false">IF(P88&gt;=10000,"Grande",IF(P88&gt;=5000,"Mediana","Pequeña"))</f>
        <v>Mediana</v>
      </c>
      <c r="V88" s="9" t="str">
        <f aca="false">IF(AND(O88="Estratégico",S88&gt;=0.3),"Alta",IF(AND(O88="Estratégico",S88&lt;0.3),"Media",IF(AND(O88="Potencial",S88&gt;=0.3),"Media","Baja")))</f>
        <v>Media</v>
      </c>
    </row>
    <row r="89" customFormat="false" ht="14.25" hidden="false" customHeight="true" outlineLevel="0" collapsed="false">
      <c r="B89" s="5" t="s">
        <v>124</v>
      </c>
      <c r="C89" s="6" t="n">
        <v>46386</v>
      </c>
      <c r="D89" s="5" t="s">
        <v>27</v>
      </c>
      <c r="E89" s="7" t="s">
        <v>42</v>
      </c>
      <c r="F89" s="5" t="s">
        <v>29</v>
      </c>
      <c r="G89" s="5" t="n">
        <v>730</v>
      </c>
      <c r="H89" s="5" t="n">
        <v>12.5</v>
      </c>
      <c r="I89" s="5" t="n">
        <v>8.7</v>
      </c>
      <c r="J89" s="8" t="s">
        <v>30</v>
      </c>
      <c r="K89" s="9" t="str">
        <f aca="false">VLOOKUP(E89,'2. Productos'!$C$4:$F$8,2,FALSE())</f>
        <v>Aceite de ajonjolí</v>
      </c>
      <c r="L89" s="9" t="str">
        <f aca="false">VLOOKUP(E89,'2. Productos'!$C$4:$F$8,3,FALSE())</f>
        <v>Aceites</v>
      </c>
      <c r="M89" s="9" t="str">
        <f aca="false">VLOOKUP(F89,'3. Mercados'!$C$4:$F$9,2,FALSE())</f>
        <v>Norteamérica</v>
      </c>
      <c r="N89" s="10" t="n">
        <f aca="false">VLOOKUP(F89,'3. Mercados'!$C$4:$F$9,3,FALSE())</f>
        <v>0.05</v>
      </c>
      <c r="O89" s="9" t="str">
        <f aca="false">VLOOKUP(F89,'3. Mercados'!$C$4:$F$9,4,FALSE())</f>
        <v>Estratégico</v>
      </c>
      <c r="P89" s="11" t="n">
        <f aca="false">G89*H89</f>
        <v>9125</v>
      </c>
      <c r="Q89" s="11" t="n">
        <f aca="false">G89*I89</f>
        <v>6351</v>
      </c>
      <c r="R89" s="11" t="n">
        <f aca="false">P89-Q89</f>
        <v>2774</v>
      </c>
      <c r="S89" s="12" t="n">
        <f aca="false">R89/P89</f>
        <v>0.304</v>
      </c>
      <c r="T89" s="9" t="str">
        <f aca="false">IF(S89&gt;=0.3,"Alta",IF(S89&gt;=0.15,"Media","Baja"))</f>
        <v>Alta</v>
      </c>
      <c r="U89" s="9" t="str">
        <f aca="false">IF(P89&gt;=10000,"Grande",IF(P89&gt;=5000,"Mediana","Pequeña"))</f>
        <v>Mediana</v>
      </c>
      <c r="V89" s="9" t="str">
        <f aca="false">IF(AND(O89="Estratégico",S89&gt;=0.3),"Alta",IF(AND(O89="Estratégico",S89&lt;0.3),"Media",IF(AND(O89="Potencial",S89&gt;=0.3),"Media","Baja")))</f>
        <v>Alta</v>
      </c>
    </row>
    <row r="90" customFormat="false" ht="14.25" hidden="false" customHeight="true" outlineLevel="0" collapsed="false">
      <c r="B90" s="5" t="s">
        <v>125</v>
      </c>
      <c r="C90" s="6" t="n">
        <v>46029</v>
      </c>
      <c r="D90" s="5" t="s">
        <v>22</v>
      </c>
      <c r="E90" s="7" t="s">
        <v>33</v>
      </c>
      <c r="F90" s="5" t="s">
        <v>24</v>
      </c>
      <c r="G90" s="5" t="n">
        <v>780</v>
      </c>
      <c r="H90" s="5" t="n">
        <v>8.2</v>
      </c>
      <c r="I90" s="5" t="n">
        <v>5.9</v>
      </c>
      <c r="J90" s="8" t="s">
        <v>25</v>
      </c>
      <c r="K90" s="9" t="str">
        <f aca="false">VLOOKUP(E90,'2. Productos'!$C$4:$F$8,2,FALSE())</f>
        <v>Maní procesado</v>
      </c>
      <c r="L90" s="9" t="str">
        <f aca="false">VLOOKUP(E90,'2. Productos'!$C$4:$F$8,3,FALSE())</f>
        <v>Semillas</v>
      </c>
      <c r="M90" s="9" t="str">
        <f aca="false">VLOOKUP(F90,'3. Mercados'!$C$4:$F$9,2,FALSE())</f>
        <v>Centroamérica</v>
      </c>
      <c r="N90" s="10" t="n">
        <f aca="false">VLOOKUP(F90,'3. Mercados'!$C$4:$F$9,3,FALSE())</f>
        <v>0.03</v>
      </c>
      <c r="O90" s="9" t="str">
        <f aca="false">VLOOKUP(F90,'3. Mercados'!$C$4:$F$9,4,FALSE())</f>
        <v>Estratégico</v>
      </c>
      <c r="P90" s="11" t="n">
        <f aca="false">G90*H90</f>
        <v>6396</v>
      </c>
      <c r="Q90" s="11" t="n">
        <f aca="false">G90*I90</f>
        <v>4602</v>
      </c>
      <c r="R90" s="11" t="n">
        <f aca="false">P90-Q90</f>
        <v>1794</v>
      </c>
      <c r="S90" s="12" t="n">
        <f aca="false">R90/P90</f>
        <v>0.280487804878049</v>
      </c>
      <c r="T90" s="9" t="str">
        <f aca="false">IF(S90&gt;=0.3,"Alta",IF(S90&gt;=0.15,"Media","Baja"))</f>
        <v>Media</v>
      </c>
      <c r="U90" s="9" t="str">
        <f aca="false">IF(P90&gt;=10000,"Grande",IF(P90&gt;=5000,"Mediana","Pequeña"))</f>
        <v>Mediana</v>
      </c>
      <c r="V90" s="9" t="str">
        <f aca="false">IF(AND(O90="Estratégico",S90&gt;=0.3),"Alta",IF(AND(O90="Estratégico",S90&lt;0.3),"Media",IF(AND(O90="Potencial",S90&gt;=0.3),"Media","Baja")))</f>
        <v>Media</v>
      </c>
    </row>
    <row r="91" customFormat="false" ht="14.25" hidden="false" customHeight="true" outlineLevel="0" collapsed="false">
      <c r="B91" s="5" t="s">
        <v>126</v>
      </c>
      <c r="C91" s="6" t="n">
        <v>46038</v>
      </c>
      <c r="D91" s="5" t="s">
        <v>32</v>
      </c>
      <c r="E91" s="7" t="s">
        <v>23</v>
      </c>
      <c r="F91" s="5" t="s">
        <v>34</v>
      </c>
      <c r="G91" s="5" t="n">
        <v>930</v>
      </c>
      <c r="H91" s="5" t="n">
        <v>4.8</v>
      </c>
      <c r="I91" s="5" t="n">
        <v>3.2</v>
      </c>
      <c r="J91" s="8" t="s">
        <v>30</v>
      </c>
      <c r="K91" s="9" t="str">
        <f aca="false">VLOOKUP(E91,'2. Productos'!$C$4:$F$8,2,FALSE())</f>
        <v>Miel natural</v>
      </c>
      <c r="L91" s="9" t="str">
        <f aca="false">VLOOKUP(E91,'2. Productos'!$C$4:$F$8,3,FALSE())</f>
        <v>Apícola</v>
      </c>
      <c r="M91" s="9" t="str">
        <f aca="false">VLOOKUP(F91,'3. Mercados'!$C$4:$F$9,2,FALSE())</f>
        <v>Centroamérica</v>
      </c>
      <c r="N91" s="10" t="n">
        <f aca="false">VLOOKUP(F91,'3. Mercados'!$C$4:$F$9,3,FALSE())</f>
        <v>0.02</v>
      </c>
      <c r="O91" s="9" t="str">
        <f aca="false">VLOOKUP(F91,'3. Mercados'!$C$4:$F$9,4,FALSE())</f>
        <v>Estratégico</v>
      </c>
      <c r="P91" s="11" t="n">
        <f aca="false">G91*H91</f>
        <v>4464</v>
      </c>
      <c r="Q91" s="11" t="n">
        <f aca="false">G91*I91</f>
        <v>2976</v>
      </c>
      <c r="R91" s="11" t="n">
        <f aca="false">P91-Q91</f>
        <v>1488</v>
      </c>
      <c r="S91" s="12" t="n">
        <f aca="false">R91/P91</f>
        <v>0.333333333333333</v>
      </c>
      <c r="T91" s="9" t="str">
        <f aca="false">IF(S91&gt;=0.3,"Alta",IF(S91&gt;=0.15,"Media","Baja"))</f>
        <v>Alta</v>
      </c>
      <c r="U91" s="9" t="str">
        <f aca="false">IF(P91&gt;=10000,"Grande",IF(P91&gt;=5000,"Mediana","Pequeña"))</f>
        <v>Pequeña</v>
      </c>
      <c r="V91" s="9" t="str">
        <f aca="false">IF(AND(O91="Estratégico",S91&gt;=0.3),"Alta",IF(AND(O91="Estratégico",S91&lt;0.3),"Media",IF(AND(O91="Potencial",S91&gt;=0.3),"Media","Baja")))</f>
        <v>Alta</v>
      </c>
    </row>
    <row r="92" customFormat="false" ht="14.25" hidden="false" customHeight="true" outlineLevel="0" collapsed="false">
      <c r="B92" s="5" t="s">
        <v>127</v>
      </c>
      <c r="C92" s="6" t="n">
        <v>46047</v>
      </c>
      <c r="D92" s="5" t="s">
        <v>36</v>
      </c>
      <c r="E92" s="7" t="s">
        <v>37</v>
      </c>
      <c r="F92" s="5" t="s">
        <v>38</v>
      </c>
      <c r="G92" s="5" t="n">
        <v>870</v>
      </c>
      <c r="H92" s="5" t="n">
        <v>7.1</v>
      </c>
      <c r="I92" s="5" t="n">
        <v>4.8</v>
      </c>
      <c r="J92" s="8" t="s">
        <v>39</v>
      </c>
      <c r="K92" s="9" t="str">
        <f aca="false">VLOOKUP(E92,'2. Productos'!$C$4:$F$8,2,FALSE())</f>
        <v>Cacao en grano</v>
      </c>
      <c r="L92" s="9" t="str">
        <f aca="false">VLOOKUP(E92,'2. Productos'!$C$4:$F$8,3,FALSE())</f>
        <v>Cacao</v>
      </c>
      <c r="M92" s="9" t="str">
        <f aca="false">VLOOKUP(F92,'3. Mercados'!$C$4:$F$9,2,FALSE())</f>
        <v>Europa</v>
      </c>
      <c r="N92" s="10" t="n">
        <f aca="false">VLOOKUP(F92,'3. Mercados'!$C$4:$F$9,3,FALSE())</f>
        <v>0.1</v>
      </c>
      <c r="O92" s="9" t="str">
        <f aca="false">VLOOKUP(F92,'3. Mercados'!$C$4:$F$9,4,FALSE())</f>
        <v>Potencial</v>
      </c>
      <c r="P92" s="11" t="n">
        <f aca="false">G92*H92</f>
        <v>6177</v>
      </c>
      <c r="Q92" s="11" t="n">
        <f aca="false">G92*I92</f>
        <v>4176</v>
      </c>
      <c r="R92" s="11" t="n">
        <f aca="false">P92-Q92</f>
        <v>2001</v>
      </c>
      <c r="S92" s="12" t="n">
        <f aca="false">R92/P92</f>
        <v>0.323943661971831</v>
      </c>
      <c r="T92" s="9" t="str">
        <f aca="false">IF(S92&gt;=0.3,"Alta",IF(S92&gt;=0.15,"Media","Baja"))</f>
        <v>Alta</v>
      </c>
      <c r="U92" s="9" t="str">
        <f aca="false">IF(P92&gt;=10000,"Grande",IF(P92&gt;=5000,"Mediana","Pequeña"))</f>
        <v>Mediana</v>
      </c>
      <c r="V92" s="9" t="str">
        <f aca="false">IF(AND(O92="Estratégico",S92&gt;=0.3),"Alta",IF(AND(O92="Estratégico",S92&lt;0.3),"Media",IF(AND(O92="Potencial",S92&gt;=0.3),"Media","Baja")))</f>
        <v>Media</v>
      </c>
    </row>
    <row r="93" customFormat="false" ht="14.25" hidden="false" customHeight="true" outlineLevel="0" collapsed="false">
      <c r="B93" s="5" t="s">
        <v>128</v>
      </c>
      <c r="C93" s="6" t="n">
        <v>46059</v>
      </c>
      <c r="D93" s="5" t="s">
        <v>41</v>
      </c>
      <c r="E93" s="7" t="s">
        <v>42</v>
      </c>
      <c r="F93" s="5" t="s">
        <v>43</v>
      </c>
      <c r="G93" s="5" t="n">
        <v>480</v>
      </c>
      <c r="H93" s="5" t="n">
        <v>12.5</v>
      </c>
      <c r="I93" s="5" t="n">
        <v>8.7</v>
      </c>
      <c r="J93" s="8" t="s">
        <v>25</v>
      </c>
      <c r="K93" s="9" t="str">
        <f aca="false">VLOOKUP(E93,'2. Productos'!$C$4:$F$8,2,FALSE())</f>
        <v>Aceite de ajonjolí</v>
      </c>
      <c r="L93" s="9" t="str">
        <f aca="false">VLOOKUP(E93,'2. Productos'!$C$4:$F$8,3,FALSE())</f>
        <v>Aceites</v>
      </c>
      <c r="M93" s="9" t="str">
        <f aca="false">VLOOKUP(F93,'3. Mercados'!$C$4:$F$9,2,FALSE())</f>
        <v>Norteamérica</v>
      </c>
      <c r="N93" s="10" t="n">
        <f aca="false">VLOOKUP(F93,'3. Mercados'!$C$4:$F$9,3,FALSE())</f>
        <v>0.08</v>
      </c>
      <c r="O93" s="9" t="str">
        <f aca="false">VLOOKUP(F93,'3. Mercados'!$C$4:$F$9,4,FALSE())</f>
        <v>Potencial</v>
      </c>
      <c r="P93" s="11" t="n">
        <f aca="false">G93*H93</f>
        <v>6000</v>
      </c>
      <c r="Q93" s="11" t="n">
        <f aca="false">G93*I93</f>
        <v>4176</v>
      </c>
      <c r="R93" s="11" t="n">
        <f aca="false">P93-Q93</f>
        <v>1824</v>
      </c>
      <c r="S93" s="12" t="n">
        <f aca="false">R93/P93</f>
        <v>0.304</v>
      </c>
      <c r="T93" s="9" t="str">
        <f aca="false">IF(S93&gt;=0.3,"Alta",IF(S93&gt;=0.15,"Media","Baja"))</f>
        <v>Alta</v>
      </c>
      <c r="U93" s="9" t="str">
        <f aca="false">IF(P93&gt;=10000,"Grande",IF(P93&gt;=5000,"Mediana","Pequeña"))</f>
        <v>Mediana</v>
      </c>
      <c r="V93" s="9" t="str">
        <f aca="false">IF(AND(O93="Estratégico",S93&gt;=0.3),"Alta",IF(AND(O93="Estratégico",S93&lt;0.3),"Media",IF(AND(O93="Potencial",S93&gt;=0.3),"Media","Baja")))</f>
        <v>Media</v>
      </c>
    </row>
    <row r="94" customFormat="false" ht="14.25" hidden="false" customHeight="true" outlineLevel="0" collapsed="false">
      <c r="B94" s="5" t="s">
        <v>129</v>
      </c>
      <c r="C94" s="6" t="n">
        <v>46068</v>
      </c>
      <c r="D94" s="5" t="s">
        <v>27</v>
      </c>
      <c r="E94" s="7" t="s">
        <v>28</v>
      </c>
      <c r="F94" s="5" t="s">
        <v>29</v>
      </c>
      <c r="G94" s="5" t="n">
        <v>1260</v>
      </c>
      <c r="H94" s="5" t="n">
        <v>6.5</v>
      </c>
      <c r="I94" s="5" t="n">
        <v>4.1</v>
      </c>
      <c r="J94" s="8" t="s">
        <v>30</v>
      </c>
      <c r="K94" s="9" t="str">
        <f aca="false">VLOOKUP(E94,'2. Productos'!$C$4:$F$8,2,FALSE())</f>
        <v>Café especial</v>
      </c>
      <c r="L94" s="9" t="str">
        <f aca="false">VLOOKUP(E94,'2. Productos'!$C$4:$F$8,3,FALSE())</f>
        <v>Café</v>
      </c>
      <c r="M94" s="9" t="str">
        <f aca="false">VLOOKUP(F94,'3. Mercados'!$C$4:$F$9,2,FALSE())</f>
        <v>Norteamérica</v>
      </c>
      <c r="N94" s="10" t="n">
        <f aca="false">VLOOKUP(F94,'3. Mercados'!$C$4:$F$9,3,FALSE())</f>
        <v>0.05</v>
      </c>
      <c r="O94" s="9" t="str">
        <f aca="false">VLOOKUP(F94,'3. Mercados'!$C$4:$F$9,4,FALSE())</f>
        <v>Estratégico</v>
      </c>
      <c r="P94" s="11" t="n">
        <f aca="false">G94*H94</f>
        <v>8190</v>
      </c>
      <c r="Q94" s="11" t="n">
        <f aca="false">G94*I94</f>
        <v>5166</v>
      </c>
      <c r="R94" s="11" t="n">
        <f aca="false">P94-Q94</f>
        <v>3024</v>
      </c>
      <c r="S94" s="12" t="n">
        <f aca="false">R94/P94</f>
        <v>0.369230769230769</v>
      </c>
      <c r="T94" s="9" t="str">
        <f aca="false">IF(S94&gt;=0.3,"Alta",IF(S94&gt;=0.15,"Media","Baja"))</f>
        <v>Alta</v>
      </c>
      <c r="U94" s="9" t="str">
        <f aca="false">IF(P94&gt;=10000,"Grande",IF(P94&gt;=5000,"Mediana","Pequeña"))</f>
        <v>Mediana</v>
      </c>
      <c r="V94" s="9" t="str">
        <f aca="false">IF(AND(O94="Estratégico",S94&gt;=0.3),"Alta",IF(AND(O94="Estratégico",S94&lt;0.3),"Media",IF(AND(O94="Potencial",S94&gt;=0.3),"Media","Baja")))</f>
        <v>Alta</v>
      </c>
    </row>
    <row r="95" customFormat="false" ht="14.25" hidden="false" customHeight="true" outlineLevel="0" collapsed="false">
      <c r="B95" s="5" t="s">
        <v>130</v>
      </c>
      <c r="C95" s="6" t="n">
        <v>46077</v>
      </c>
      <c r="D95" s="5" t="s">
        <v>22</v>
      </c>
      <c r="E95" s="7" t="s">
        <v>23</v>
      </c>
      <c r="F95" s="5" t="s">
        <v>24</v>
      </c>
      <c r="G95" s="5" t="n">
        <v>1100</v>
      </c>
      <c r="H95" s="5" t="n">
        <v>4.8</v>
      </c>
      <c r="I95" s="5" t="n">
        <v>3.2</v>
      </c>
      <c r="J95" s="8" t="s">
        <v>25</v>
      </c>
      <c r="K95" s="9" t="str">
        <f aca="false">VLOOKUP(E95,'2. Productos'!$C$4:$F$8,2,FALSE())</f>
        <v>Miel natural</v>
      </c>
      <c r="L95" s="9" t="str">
        <f aca="false">VLOOKUP(E95,'2. Productos'!$C$4:$F$8,3,FALSE())</f>
        <v>Apícola</v>
      </c>
      <c r="M95" s="9" t="str">
        <f aca="false">VLOOKUP(F95,'3. Mercados'!$C$4:$F$9,2,FALSE())</f>
        <v>Centroamérica</v>
      </c>
      <c r="N95" s="10" t="n">
        <f aca="false">VLOOKUP(F95,'3. Mercados'!$C$4:$F$9,3,FALSE())</f>
        <v>0.03</v>
      </c>
      <c r="O95" s="9" t="str">
        <f aca="false">VLOOKUP(F95,'3. Mercados'!$C$4:$F$9,4,FALSE())</f>
        <v>Estratégico</v>
      </c>
      <c r="P95" s="11" t="n">
        <f aca="false">G95*H95</f>
        <v>5280</v>
      </c>
      <c r="Q95" s="11" t="n">
        <f aca="false">G95*I95</f>
        <v>3520</v>
      </c>
      <c r="R95" s="11" t="n">
        <f aca="false">P95-Q95</f>
        <v>1760</v>
      </c>
      <c r="S95" s="12" t="n">
        <f aca="false">R95/P95</f>
        <v>0.333333333333333</v>
      </c>
      <c r="T95" s="9" t="str">
        <f aca="false">IF(S95&gt;=0.3,"Alta",IF(S95&gt;=0.15,"Media","Baja"))</f>
        <v>Alta</v>
      </c>
      <c r="U95" s="9" t="str">
        <f aca="false">IF(P95&gt;=10000,"Grande",IF(P95&gt;=5000,"Mediana","Pequeña"))</f>
        <v>Mediana</v>
      </c>
      <c r="V95" s="9" t="str">
        <f aca="false">IF(AND(O95="Estratégico",S95&gt;=0.3),"Alta",IF(AND(O95="Estratégico",S95&lt;0.3),"Media",IF(AND(O95="Potencial",S95&gt;=0.3),"Media","Baja")))</f>
        <v>Alta</v>
      </c>
    </row>
    <row r="96" customFormat="false" ht="14.25" hidden="false" customHeight="true" outlineLevel="0" collapsed="false">
      <c r="B96" s="5" t="s">
        <v>131</v>
      </c>
      <c r="C96" s="6" t="n">
        <v>46086</v>
      </c>
      <c r="D96" s="5" t="s">
        <v>32</v>
      </c>
      <c r="E96" s="7" t="s">
        <v>42</v>
      </c>
      <c r="F96" s="5" t="s">
        <v>34</v>
      </c>
      <c r="G96" s="5" t="n">
        <v>570</v>
      </c>
      <c r="H96" s="5" t="n">
        <v>12.5</v>
      </c>
      <c r="I96" s="5" t="n">
        <v>8.7</v>
      </c>
      <c r="J96" s="8" t="s">
        <v>30</v>
      </c>
      <c r="K96" s="9" t="str">
        <f aca="false">VLOOKUP(E96,'2. Productos'!$C$4:$F$8,2,FALSE())</f>
        <v>Aceite de ajonjolí</v>
      </c>
      <c r="L96" s="9" t="str">
        <f aca="false">VLOOKUP(E96,'2. Productos'!$C$4:$F$8,3,FALSE())</f>
        <v>Aceites</v>
      </c>
      <c r="M96" s="9" t="str">
        <f aca="false">VLOOKUP(F96,'3. Mercados'!$C$4:$F$9,2,FALSE())</f>
        <v>Centroamérica</v>
      </c>
      <c r="N96" s="10" t="n">
        <f aca="false">VLOOKUP(F96,'3. Mercados'!$C$4:$F$9,3,FALSE())</f>
        <v>0.02</v>
      </c>
      <c r="O96" s="9" t="str">
        <f aca="false">VLOOKUP(F96,'3. Mercados'!$C$4:$F$9,4,FALSE())</f>
        <v>Estratégico</v>
      </c>
      <c r="P96" s="11" t="n">
        <f aca="false">G96*H96</f>
        <v>7125</v>
      </c>
      <c r="Q96" s="11" t="n">
        <f aca="false">G96*I96</f>
        <v>4959</v>
      </c>
      <c r="R96" s="11" t="n">
        <f aca="false">P96-Q96</f>
        <v>2166</v>
      </c>
      <c r="S96" s="12" t="n">
        <f aca="false">R96/P96</f>
        <v>0.304</v>
      </c>
      <c r="T96" s="9" t="str">
        <f aca="false">IF(S96&gt;=0.3,"Alta",IF(S96&gt;=0.15,"Media","Baja"))</f>
        <v>Alta</v>
      </c>
      <c r="U96" s="9" t="str">
        <f aca="false">IF(P96&gt;=10000,"Grande",IF(P96&gt;=5000,"Mediana","Pequeña"))</f>
        <v>Mediana</v>
      </c>
      <c r="V96" s="9" t="str">
        <f aca="false">IF(AND(O96="Estratégico",S96&gt;=0.3),"Alta",IF(AND(O96="Estratégico",S96&lt;0.3),"Media",IF(AND(O96="Potencial",S96&gt;=0.3),"Media","Baja")))</f>
        <v>Alta</v>
      </c>
    </row>
    <row r="97" customFormat="false" ht="14.25" hidden="false" customHeight="true" outlineLevel="0" collapsed="false">
      <c r="B97" s="5" t="s">
        <v>132</v>
      </c>
      <c r="C97" s="6" t="n">
        <v>46095</v>
      </c>
      <c r="D97" s="5" t="s">
        <v>36</v>
      </c>
      <c r="E97" s="7" t="s">
        <v>33</v>
      </c>
      <c r="F97" s="5" t="s">
        <v>38</v>
      </c>
      <c r="G97" s="5" t="n">
        <v>880</v>
      </c>
      <c r="H97" s="5" t="n">
        <v>8.2</v>
      </c>
      <c r="I97" s="5" t="n">
        <v>5.9</v>
      </c>
      <c r="J97" s="8" t="s">
        <v>25</v>
      </c>
      <c r="K97" s="9" t="str">
        <f aca="false">VLOOKUP(E97,'2. Productos'!$C$4:$F$8,2,FALSE())</f>
        <v>Maní procesado</v>
      </c>
      <c r="L97" s="9" t="str">
        <f aca="false">VLOOKUP(E97,'2. Productos'!$C$4:$F$8,3,FALSE())</f>
        <v>Semillas</v>
      </c>
      <c r="M97" s="9" t="str">
        <f aca="false">VLOOKUP(F97,'3. Mercados'!$C$4:$F$9,2,FALSE())</f>
        <v>Europa</v>
      </c>
      <c r="N97" s="10" t="n">
        <f aca="false">VLOOKUP(F97,'3. Mercados'!$C$4:$F$9,3,FALSE())</f>
        <v>0.1</v>
      </c>
      <c r="O97" s="9" t="str">
        <f aca="false">VLOOKUP(F97,'3. Mercados'!$C$4:$F$9,4,FALSE())</f>
        <v>Potencial</v>
      </c>
      <c r="P97" s="11" t="n">
        <f aca="false">G97*H97</f>
        <v>7216</v>
      </c>
      <c r="Q97" s="11" t="n">
        <f aca="false">G97*I97</f>
        <v>5192</v>
      </c>
      <c r="R97" s="11" t="n">
        <f aca="false">P97-Q97</f>
        <v>2024</v>
      </c>
      <c r="S97" s="12" t="n">
        <f aca="false">R97/P97</f>
        <v>0.280487804878049</v>
      </c>
      <c r="T97" s="9" t="str">
        <f aca="false">IF(S97&gt;=0.3,"Alta",IF(S97&gt;=0.15,"Media","Baja"))</f>
        <v>Media</v>
      </c>
      <c r="U97" s="9" t="str">
        <f aca="false">IF(P97&gt;=10000,"Grande",IF(P97&gt;=5000,"Mediana","Pequeña"))</f>
        <v>Mediana</v>
      </c>
      <c r="V97" s="9" t="str">
        <f aca="false">IF(AND(O97="Estratégico",S97&gt;=0.3),"Alta",IF(AND(O97="Estratégico",S97&lt;0.3),"Media",IF(AND(O97="Potencial",S97&gt;=0.3),"Media","Baja")))</f>
        <v>Baja</v>
      </c>
    </row>
    <row r="98" customFormat="false" ht="14.25" hidden="false" customHeight="true" outlineLevel="0" collapsed="false">
      <c r="B98" s="5" t="s">
        <v>133</v>
      </c>
      <c r="C98" s="6" t="n">
        <v>46104</v>
      </c>
      <c r="D98" s="5" t="s">
        <v>41</v>
      </c>
      <c r="E98" s="7" t="s">
        <v>37</v>
      </c>
      <c r="F98" s="5" t="s">
        <v>43</v>
      </c>
      <c r="G98" s="5" t="n">
        <v>1060</v>
      </c>
      <c r="H98" s="5" t="n">
        <v>7.1</v>
      </c>
      <c r="I98" s="5" t="n">
        <v>4.8</v>
      </c>
      <c r="J98" s="8" t="s">
        <v>30</v>
      </c>
      <c r="K98" s="9" t="str">
        <f aca="false">VLOOKUP(E98,'2. Productos'!$C$4:$F$8,2,FALSE())</f>
        <v>Cacao en grano</v>
      </c>
      <c r="L98" s="9" t="str">
        <f aca="false">VLOOKUP(E98,'2. Productos'!$C$4:$F$8,3,FALSE())</f>
        <v>Cacao</v>
      </c>
      <c r="M98" s="9" t="str">
        <f aca="false">VLOOKUP(F98,'3. Mercados'!$C$4:$F$9,2,FALSE())</f>
        <v>Norteamérica</v>
      </c>
      <c r="N98" s="10" t="n">
        <f aca="false">VLOOKUP(F98,'3. Mercados'!$C$4:$F$9,3,FALSE())</f>
        <v>0.08</v>
      </c>
      <c r="O98" s="9" t="str">
        <f aca="false">VLOOKUP(F98,'3. Mercados'!$C$4:$F$9,4,FALSE())</f>
        <v>Potencial</v>
      </c>
      <c r="P98" s="11" t="n">
        <f aca="false">G98*H98</f>
        <v>7526</v>
      </c>
      <c r="Q98" s="11" t="n">
        <f aca="false">G98*I98</f>
        <v>5088</v>
      </c>
      <c r="R98" s="11" t="n">
        <f aca="false">P98-Q98</f>
        <v>2438</v>
      </c>
      <c r="S98" s="12" t="n">
        <f aca="false">R98/P98</f>
        <v>0.323943661971831</v>
      </c>
      <c r="T98" s="9" t="str">
        <f aca="false">IF(S98&gt;=0.3,"Alta",IF(S98&gt;=0.15,"Media","Baja"))</f>
        <v>Alta</v>
      </c>
      <c r="U98" s="9" t="str">
        <f aca="false">IF(P98&gt;=10000,"Grande",IF(P98&gt;=5000,"Mediana","Pequeña"))</f>
        <v>Mediana</v>
      </c>
      <c r="V98" s="9" t="str">
        <f aca="false">IF(AND(O98="Estratégico",S98&gt;=0.3),"Alta",IF(AND(O98="Estratégico",S98&lt;0.3),"Media",IF(AND(O98="Potencial",S98&gt;=0.3),"Media","Baja")))</f>
        <v>Media</v>
      </c>
    </row>
    <row r="99" customFormat="false" ht="14.25" hidden="false" customHeight="true" outlineLevel="0" collapsed="false">
      <c r="B99" s="5" t="s">
        <v>134</v>
      </c>
      <c r="C99" s="6" t="n">
        <v>46114</v>
      </c>
      <c r="D99" s="5" t="s">
        <v>27</v>
      </c>
      <c r="E99" s="7" t="s">
        <v>23</v>
      </c>
      <c r="F99" s="5" t="s">
        <v>29</v>
      </c>
      <c r="G99" s="5" t="n">
        <v>1490</v>
      </c>
      <c r="H99" s="5" t="n">
        <v>4.8</v>
      </c>
      <c r="I99" s="5" t="n">
        <v>3.2</v>
      </c>
      <c r="J99" s="8" t="s">
        <v>39</v>
      </c>
      <c r="K99" s="9" t="str">
        <f aca="false">VLOOKUP(E99,'2. Productos'!$C$4:$F$8,2,FALSE())</f>
        <v>Miel natural</v>
      </c>
      <c r="L99" s="9" t="str">
        <f aca="false">VLOOKUP(E99,'2. Productos'!$C$4:$F$8,3,FALSE())</f>
        <v>Apícola</v>
      </c>
      <c r="M99" s="9" t="str">
        <f aca="false">VLOOKUP(F99,'3. Mercados'!$C$4:$F$9,2,FALSE())</f>
        <v>Norteamérica</v>
      </c>
      <c r="N99" s="10" t="n">
        <f aca="false">VLOOKUP(F99,'3. Mercados'!$C$4:$F$9,3,FALSE())</f>
        <v>0.05</v>
      </c>
      <c r="O99" s="9" t="str">
        <f aca="false">VLOOKUP(F99,'3. Mercados'!$C$4:$F$9,4,FALSE())</f>
        <v>Estratégico</v>
      </c>
      <c r="P99" s="11" t="n">
        <f aca="false">G99*H99</f>
        <v>7152</v>
      </c>
      <c r="Q99" s="11" t="n">
        <f aca="false">G99*I99</f>
        <v>4768</v>
      </c>
      <c r="R99" s="11" t="n">
        <f aca="false">P99-Q99</f>
        <v>2384</v>
      </c>
      <c r="S99" s="12" t="n">
        <f aca="false">R99/P99</f>
        <v>0.333333333333333</v>
      </c>
      <c r="T99" s="9" t="str">
        <f aca="false">IF(S99&gt;=0.3,"Alta",IF(S99&gt;=0.15,"Media","Baja"))</f>
        <v>Alta</v>
      </c>
      <c r="U99" s="9" t="str">
        <f aca="false">IF(P99&gt;=10000,"Grande",IF(P99&gt;=5000,"Mediana","Pequeña"))</f>
        <v>Mediana</v>
      </c>
      <c r="V99" s="9" t="str">
        <f aca="false">IF(AND(O99="Estratégico",S99&gt;=0.3),"Alta",IF(AND(O99="Estratégico",S99&lt;0.3),"Media",IF(AND(O99="Potencial",S99&gt;=0.3),"Media","Baja")))</f>
        <v>Alta</v>
      </c>
    </row>
    <row r="100" customFormat="false" ht="14.25" hidden="false" customHeight="true" outlineLevel="0" collapsed="false">
      <c r="B100" s="5" t="s">
        <v>135</v>
      </c>
      <c r="C100" s="6" t="n">
        <v>46123</v>
      </c>
      <c r="D100" s="5" t="s">
        <v>22</v>
      </c>
      <c r="E100" s="7" t="s">
        <v>28</v>
      </c>
      <c r="F100" s="5" t="s">
        <v>24</v>
      </c>
      <c r="G100" s="5" t="n">
        <v>910</v>
      </c>
      <c r="H100" s="5" t="n">
        <v>6.5</v>
      </c>
      <c r="I100" s="5" t="n">
        <v>4.1</v>
      </c>
      <c r="J100" s="8" t="s">
        <v>25</v>
      </c>
      <c r="K100" s="9" t="str">
        <f aca="false">VLOOKUP(E100,'2. Productos'!$C$4:$F$8,2,FALSE())</f>
        <v>Café especial</v>
      </c>
      <c r="L100" s="9" t="str">
        <f aca="false">VLOOKUP(E100,'2. Productos'!$C$4:$F$8,3,FALSE())</f>
        <v>Café</v>
      </c>
      <c r="M100" s="9" t="str">
        <f aca="false">VLOOKUP(F100,'3. Mercados'!$C$4:$F$9,2,FALSE())</f>
        <v>Centroamérica</v>
      </c>
      <c r="N100" s="10" t="n">
        <f aca="false">VLOOKUP(F100,'3. Mercados'!$C$4:$F$9,3,FALSE())</f>
        <v>0.03</v>
      </c>
      <c r="O100" s="9" t="str">
        <f aca="false">VLOOKUP(F100,'3. Mercados'!$C$4:$F$9,4,FALSE())</f>
        <v>Estratégico</v>
      </c>
      <c r="P100" s="11" t="n">
        <f aca="false">G100*H100</f>
        <v>5915</v>
      </c>
      <c r="Q100" s="11" t="n">
        <f aca="false">G100*I100</f>
        <v>3731</v>
      </c>
      <c r="R100" s="11" t="n">
        <f aca="false">P100-Q100</f>
        <v>2184</v>
      </c>
      <c r="S100" s="12" t="n">
        <f aca="false">R100/P100</f>
        <v>0.369230769230769</v>
      </c>
      <c r="T100" s="9" t="str">
        <f aca="false">IF(S100&gt;=0.3,"Alta",IF(S100&gt;=0.15,"Media","Baja"))</f>
        <v>Alta</v>
      </c>
      <c r="U100" s="9" t="str">
        <f aca="false">IF(P100&gt;=10000,"Grande",IF(P100&gt;=5000,"Mediana","Pequeña"))</f>
        <v>Mediana</v>
      </c>
      <c r="V100" s="9" t="str">
        <f aca="false">IF(AND(O100="Estratégico",S100&gt;=0.3),"Alta",IF(AND(O100="Estratégico",S100&lt;0.3),"Media",IF(AND(O100="Potencial",S100&gt;=0.3),"Media","Baja")))</f>
        <v>Alta</v>
      </c>
    </row>
    <row r="101" customFormat="false" ht="14.25" hidden="false" customHeight="true" outlineLevel="0" collapsed="false">
      <c r="B101" s="5" t="s">
        <v>136</v>
      </c>
      <c r="C101" s="6" t="n">
        <v>46132</v>
      </c>
      <c r="D101" s="5" t="s">
        <v>32</v>
      </c>
      <c r="E101" s="7" t="s">
        <v>33</v>
      </c>
      <c r="F101" s="5" t="s">
        <v>34</v>
      </c>
      <c r="G101" s="5" t="n">
        <v>740</v>
      </c>
      <c r="H101" s="5" t="n">
        <v>8.2</v>
      </c>
      <c r="I101" s="5" t="n">
        <v>5.9</v>
      </c>
      <c r="J101" s="8" t="s">
        <v>30</v>
      </c>
      <c r="K101" s="9" t="str">
        <f aca="false">VLOOKUP(E101,'2. Productos'!$C$4:$F$8,2,FALSE())</f>
        <v>Maní procesado</v>
      </c>
      <c r="L101" s="9" t="str">
        <f aca="false">VLOOKUP(E101,'2. Productos'!$C$4:$F$8,3,FALSE())</f>
        <v>Semillas</v>
      </c>
      <c r="M101" s="9" t="str">
        <f aca="false">VLOOKUP(F101,'3. Mercados'!$C$4:$F$9,2,FALSE())</f>
        <v>Centroamérica</v>
      </c>
      <c r="N101" s="10" t="n">
        <f aca="false">VLOOKUP(F101,'3. Mercados'!$C$4:$F$9,3,FALSE())</f>
        <v>0.02</v>
      </c>
      <c r="O101" s="9" t="str">
        <f aca="false">VLOOKUP(F101,'3. Mercados'!$C$4:$F$9,4,FALSE())</f>
        <v>Estratégico</v>
      </c>
      <c r="P101" s="11" t="n">
        <f aca="false">G101*H101</f>
        <v>6068</v>
      </c>
      <c r="Q101" s="11" t="n">
        <f aca="false">G101*I101</f>
        <v>4366</v>
      </c>
      <c r="R101" s="11" t="n">
        <f aca="false">P101-Q101</f>
        <v>1702</v>
      </c>
      <c r="S101" s="12" t="n">
        <f aca="false">R101/P101</f>
        <v>0.280487804878049</v>
      </c>
      <c r="T101" s="9" t="str">
        <f aca="false">IF(S101&gt;=0.3,"Alta",IF(S101&gt;=0.15,"Media","Baja"))</f>
        <v>Media</v>
      </c>
      <c r="U101" s="9" t="str">
        <f aca="false">IF(P101&gt;=10000,"Grande",IF(P101&gt;=5000,"Mediana","Pequeña"))</f>
        <v>Mediana</v>
      </c>
      <c r="V101" s="9" t="str">
        <f aca="false">IF(AND(O101="Estratégico",S101&gt;=0.3),"Alta",IF(AND(O101="Estratégico",S101&lt;0.3),"Media",IF(AND(O101="Potencial",S101&gt;=0.3),"Media","Baja")))</f>
        <v>Media</v>
      </c>
    </row>
    <row r="102" customFormat="false" ht="14.25" hidden="false" customHeight="true" outlineLevel="0" collapsed="false">
      <c r="B102" s="5" t="s">
        <v>137</v>
      </c>
      <c r="C102" s="6" t="n">
        <v>46141</v>
      </c>
      <c r="D102" s="5" t="s">
        <v>36</v>
      </c>
      <c r="E102" s="7" t="s">
        <v>42</v>
      </c>
      <c r="F102" s="5" t="s">
        <v>38</v>
      </c>
      <c r="G102" s="5" t="n">
        <v>630</v>
      </c>
      <c r="H102" s="5" t="n">
        <v>12.5</v>
      </c>
      <c r="I102" s="5" t="n">
        <v>8.7</v>
      </c>
      <c r="J102" s="8" t="s">
        <v>25</v>
      </c>
      <c r="K102" s="9" t="str">
        <f aca="false">VLOOKUP(E102,'2. Productos'!$C$4:$F$8,2,FALSE())</f>
        <v>Aceite de ajonjolí</v>
      </c>
      <c r="L102" s="9" t="str">
        <f aca="false">VLOOKUP(E102,'2. Productos'!$C$4:$F$8,3,FALSE())</f>
        <v>Aceites</v>
      </c>
      <c r="M102" s="9" t="str">
        <f aca="false">VLOOKUP(F102,'3. Mercados'!$C$4:$F$9,2,FALSE())</f>
        <v>Europa</v>
      </c>
      <c r="N102" s="10" t="n">
        <f aca="false">VLOOKUP(F102,'3. Mercados'!$C$4:$F$9,3,FALSE())</f>
        <v>0.1</v>
      </c>
      <c r="O102" s="9" t="str">
        <f aca="false">VLOOKUP(F102,'3. Mercados'!$C$4:$F$9,4,FALSE())</f>
        <v>Potencial</v>
      </c>
      <c r="P102" s="11" t="n">
        <f aca="false">G102*H102</f>
        <v>7875</v>
      </c>
      <c r="Q102" s="11" t="n">
        <f aca="false">G102*I102</f>
        <v>5481</v>
      </c>
      <c r="R102" s="11" t="n">
        <f aca="false">P102-Q102</f>
        <v>2394</v>
      </c>
      <c r="S102" s="12" t="n">
        <f aca="false">R102/P102</f>
        <v>0.304</v>
      </c>
      <c r="T102" s="9" t="str">
        <f aca="false">IF(S102&gt;=0.3,"Alta",IF(S102&gt;=0.15,"Media","Baja"))</f>
        <v>Alta</v>
      </c>
      <c r="U102" s="9" t="str">
        <f aca="false">IF(P102&gt;=10000,"Grande",IF(P102&gt;=5000,"Mediana","Pequeña"))</f>
        <v>Mediana</v>
      </c>
      <c r="V102" s="9" t="str">
        <f aca="false">IF(AND(O102="Estratégico",S102&gt;=0.3),"Alta",IF(AND(O102="Estratégico",S102&lt;0.3),"Media",IF(AND(O102="Potencial",S102&gt;=0.3),"Media","Baja")))</f>
        <v>Media</v>
      </c>
    </row>
    <row r="103" customFormat="false" ht="14.25" hidden="false" customHeight="true" outlineLevel="0" collapsed="false">
      <c r="B103" s="5" t="s">
        <v>138</v>
      </c>
      <c r="C103" s="6" t="n">
        <v>46150</v>
      </c>
      <c r="D103" s="5" t="s">
        <v>41</v>
      </c>
      <c r="E103" s="7" t="s">
        <v>28</v>
      </c>
      <c r="F103" s="5" t="s">
        <v>43</v>
      </c>
      <c r="G103" s="5" t="n">
        <v>1170</v>
      </c>
      <c r="H103" s="5" t="n">
        <v>6.5</v>
      </c>
      <c r="I103" s="5" t="n">
        <v>4.1</v>
      </c>
      <c r="J103" s="8" t="s">
        <v>30</v>
      </c>
      <c r="K103" s="9" t="str">
        <f aca="false">VLOOKUP(E103,'2. Productos'!$C$4:$F$8,2,FALSE())</f>
        <v>Café especial</v>
      </c>
      <c r="L103" s="9" t="str">
        <f aca="false">VLOOKUP(E103,'2. Productos'!$C$4:$F$8,3,FALSE())</f>
        <v>Café</v>
      </c>
      <c r="M103" s="9" t="str">
        <f aca="false">VLOOKUP(F103,'3. Mercados'!$C$4:$F$9,2,FALSE())</f>
        <v>Norteamérica</v>
      </c>
      <c r="N103" s="10" t="n">
        <f aca="false">VLOOKUP(F103,'3. Mercados'!$C$4:$F$9,3,FALSE())</f>
        <v>0.08</v>
      </c>
      <c r="O103" s="9" t="str">
        <f aca="false">VLOOKUP(F103,'3. Mercados'!$C$4:$F$9,4,FALSE())</f>
        <v>Potencial</v>
      </c>
      <c r="P103" s="11" t="n">
        <f aca="false">G103*H103</f>
        <v>7605</v>
      </c>
      <c r="Q103" s="11" t="n">
        <f aca="false">G103*I103</f>
        <v>4797</v>
      </c>
      <c r="R103" s="11" t="n">
        <f aca="false">P103-Q103</f>
        <v>2808</v>
      </c>
      <c r="S103" s="12" t="n">
        <f aca="false">R103/P103</f>
        <v>0.369230769230769</v>
      </c>
      <c r="T103" s="9" t="str">
        <f aca="false">IF(S103&gt;=0.3,"Alta",IF(S103&gt;=0.15,"Media","Baja"))</f>
        <v>Alta</v>
      </c>
      <c r="U103" s="9" t="str">
        <f aca="false">IF(P103&gt;=10000,"Grande",IF(P103&gt;=5000,"Mediana","Pequeña"))</f>
        <v>Mediana</v>
      </c>
      <c r="V103" s="9" t="str">
        <f aca="false">IF(AND(O103="Estratégico",S103&gt;=0.3),"Alta",IF(AND(O103="Estratégico",S103&lt;0.3),"Media",IF(AND(O103="Potencial",S103&gt;=0.3),"Media","Baja")))</f>
        <v>Media</v>
      </c>
    </row>
    <row r="104" customFormat="false" ht="14.25" hidden="false" customHeight="true" outlineLevel="0" collapsed="false">
      <c r="J104" s="13"/>
    </row>
    <row r="105" customFormat="false" ht="14.25" hidden="false" customHeight="true" outlineLevel="0" collapsed="false">
      <c r="J105" s="13"/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C2:F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C3" activeCellId="0" sqref="C3"/>
    </sheetView>
  </sheetViews>
  <sheetFormatPr defaultColWidth="10.6796875" defaultRowHeight="14.25" zeroHeight="false" outlineLevelRow="0" outlineLevelCol="0"/>
  <cols>
    <col collapsed="false" customWidth="true" hidden="false" outlineLevel="0" max="3" min="3" style="1" width="9.88"/>
    <col collapsed="false" customWidth="true" hidden="false" outlineLevel="0" max="4" min="4" style="1" width="16.22"/>
    <col collapsed="false" customWidth="true" hidden="false" outlineLevel="0" max="5" min="5" style="1" width="10.2"/>
    <col collapsed="false" customWidth="true" hidden="false" outlineLevel="0" max="6" min="6" style="1" width="17.76"/>
  </cols>
  <sheetData>
    <row r="2" customFormat="false" ht="21" hidden="false" customHeight="true" outlineLevel="0" collapsed="false">
      <c r="C2" s="14" t="s">
        <v>139</v>
      </c>
    </row>
    <row r="3" customFormat="false" ht="14.25" hidden="false" customHeight="true" outlineLevel="0" collapsed="false">
      <c r="C3" s="3" t="s">
        <v>140</v>
      </c>
      <c r="D3" s="3" t="s">
        <v>9</v>
      </c>
      <c r="E3" s="3" t="s">
        <v>10</v>
      </c>
      <c r="F3" s="3" t="s">
        <v>141</v>
      </c>
    </row>
    <row r="4" customFormat="false" ht="14.25" hidden="false" customHeight="true" outlineLevel="0" collapsed="false">
      <c r="C4" s="7" t="s">
        <v>28</v>
      </c>
      <c r="D4" s="5" t="s">
        <v>142</v>
      </c>
      <c r="E4" s="5" t="s">
        <v>143</v>
      </c>
      <c r="F4" s="7" t="s">
        <v>144</v>
      </c>
    </row>
    <row r="5" customFormat="false" ht="14.25" hidden="false" customHeight="true" outlineLevel="0" collapsed="false">
      <c r="C5" s="7" t="s">
        <v>37</v>
      </c>
      <c r="D5" s="5" t="s">
        <v>145</v>
      </c>
      <c r="E5" s="5" t="s">
        <v>146</v>
      </c>
      <c r="F5" s="7" t="s">
        <v>144</v>
      </c>
    </row>
    <row r="6" customFormat="false" ht="14.25" hidden="false" customHeight="true" outlineLevel="0" collapsed="false">
      <c r="C6" s="7" t="s">
        <v>23</v>
      </c>
      <c r="D6" s="5" t="s">
        <v>147</v>
      </c>
      <c r="E6" s="5" t="s">
        <v>148</v>
      </c>
      <c r="F6" s="7" t="s">
        <v>144</v>
      </c>
    </row>
    <row r="7" customFormat="false" ht="14.25" hidden="false" customHeight="true" outlineLevel="0" collapsed="false">
      <c r="C7" s="7" t="s">
        <v>33</v>
      </c>
      <c r="D7" s="5" t="s">
        <v>149</v>
      </c>
      <c r="E7" s="5" t="s">
        <v>150</v>
      </c>
      <c r="F7" s="7" t="s">
        <v>144</v>
      </c>
    </row>
    <row r="8" customFormat="false" ht="14.25" hidden="false" customHeight="true" outlineLevel="0" collapsed="false">
      <c r="C8" s="7" t="s">
        <v>42</v>
      </c>
      <c r="D8" s="5" t="s">
        <v>151</v>
      </c>
      <c r="E8" s="5" t="s">
        <v>152</v>
      </c>
      <c r="F8" s="7" t="s">
        <v>153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C2:F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C3" activeCellId="0" sqref="C3"/>
    </sheetView>
  </sheetViews>
  <sheetFormatPr defaultColWidth="10.6796875" defaultRowHeight="14.25" zeroHeight="false" outlineLevelRow="0" outlineLevelCol="0"/>
  <cols>
    <col collapsed="false" customWidth="true" hidden="false" outlineLevel="0" max="4" min="4" style="1" width="14.44"/>
    <col collapsed="false" customWidth="true" hidden="false" outlineLevel="0" max="12" min="12" style="1" width="10"/>
    <col collapsed="false" customWidth="true" hidden="false" outlineLevel="0" max="13" min="13" style="1" width="23.44"/>
    <col collapsed="false" customWidth="true" hidden="false" outlineLevel="0" max="14" min="14" style="1" width="12.11"/>
    <col collapsed="false" customWidth="true" hidden="false" outlineLevel="0" max="16" min="16" style="1" width="31.44"/>
    <col collapsed="false" customWidth="true" hidden="false" outlineLevel="0" max="18" min="17" style="1" width="8.88"/>
    <col collapsed="false" customWidth="true" hidden="false" outlineLevel="0" max="19" min="19" style="1" width="11.11"/>
    <col collapsed="false" customWidth="true" hidden="false" outlineLevel="0" max="20" min="20" style="1" width="11.44"/>
    <col collapsed="false" customWidth="true" hidden="false" outlineLevel="0" max="22" min="22" style="1" width="32.56"/>
    <col collapsed="false" customWidth="true" hidden="false" outlineLevel="0" max="23" min="23" style="1" width="10.88"/>
    <col collapsed="false" customWidth="true" hidden="false" outlineLevel="0" max="24" min="24" style="1" width="14.44"/>
  </cols>
  <sheetData>
    <row r="2" customFormat="false" ht="16.5" hidden="false" customHeight="true" outlineLevel="0" collapsed="false">
      <c r="C2" s="14" t="s">
        <v>154</v>
      </c>
    </row>
    <row r="3" customFormat="false" ht="14.25" hidden="false" customHeight="true" outlineLevel="0" collapsed="false">
      <c r="C3" s="3" t="s">
        <v>155</v>
      </c>
      <c r="D3" s="3" t="s">
        <v>11</v>
      </c>
      <c r="E3" s="3" t="s">
        <v>12</v>
      </c>
      <c r="F3" s="3" t="s">
        <v>156</v>
      </c>
    </row>
    <row r="4" customFormat="false" ht="14.25" hidden="false" customHeight="true" outlineLevel="0" collapsed="false">
      <c r="C4" s="5" t="s">
        <v>29</v>
      </c>
      <c r="D4" s="5" t="s">
        <v>157</v>
      </c>
      <c r="E4" s="15" t="n">
        <v>0.05</v>
      </c>
      <c r="F4" s="5" t="s">
        <v>158</v>
      </c>
    </row>
    <row r="5" customFormat="false" ht="14.25" hidden="false" customHeight="true" outlineLevel="0" collapsed="false">
      <c r="C5" s="5" t="s">
        <v>43</v>
      </c>
      <c r="D5" s="5" t="s">
        <v>157</v>
      </c>
      <c r="E5" s="15" t="n">
        <v>0.08</v>
      </c>
      <c r="F5" s="5" t="s">
        <v>159</v>
      </c>
    </row>
    <row r="6" customFormat="false" ht="14.25" hidden="false" customHeight="true" outlineLevel="0" collapsed="false">
      <c r="C6" s="5" t="s">
        <v>24</v>
      </c>
      <c r="D6" s="5" t="s">
        <v>160</v>
      </c>
      <c r="E6" s="15" t="n">
        <v>0.03</v>
      </c>
      <c r="F6" s="5" t="s">
        <v>158</v>
      </c>
    </row>
    <row r="7" customFormat="false" ht="14.25" hidden="false" customHeight="true" outlineLevel="0" collapsed="false">
      <c r="C7" s="5" t="s">
        <v>34</v>
      </c>
      <c r="D7" s="5" t="s">
        <v>160</v>
      </c>
      <c r="E7" s="15" t="n">
        <v>0.02</v>
      </c>
      <c r="F7" s="5" t="s">
        <v>158</v>
      </c>
    </row>
    <row r="8" customFormat="false" ht="14.25" hidden="false" customHeight="true" outlineLevel="0" collapsed="false">
      <c r="C8" s="5" t="s">
        <v>161</v>
      </c>
      <c r="D8" s="5" t="s">
        <v>160</v>
      </c>
      <c r="E8" s="15" t="n">
        <v>0.02</v>
      </c>
      <c r="F8" s="5" t="s">
        <v>159</v>
      </c>
    </row>
    <row r="9" customFormat="false" ht="14.25" hidden="false" customHeight="true" outlineLevel="0" collapsed="false">
      <c r="C9" s="5" t="s">
        <v>38</v>
      </c>
      <c r="D9" s="5" t="s">
        <v>162</v>
      </c>
      <c r="E9" s="15" t="n">
        <v>0.1</v>
      </c>
      <c r="F9" s="5" t="s">
        <v>159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H1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2" min="2" style="1" width="6"/>
    <col collapsed="false" customWidth="true" hidden="false" outlineLevel="0" max="3" min="3" style="1" width="55"/>
    <col collapsed="false" customWidth="true" hidden="false" outlineLevel="0" max="4" min="4" style="1" width="58"/>
    <col collapsed="false" customWidth="true" hidden="false" outlineLevel="0" max="5" min="5" style="1" width="20"/>
    <col collapsed="false" customWidth="true" hidden="false" outlineLevel="0" max="7" min="7" style="1" width="16"/>
    <col collapsed="false" customWidth="true" hidden="false" outlineLevel="0" max="8" min="8" style="1" width="18"/>
  </cols>
  <sheetData>
    <row r="2" customFormat="false" ht="15.75" hidden="false" customHeight="true" outlineLevel="0" collapsed="false">
      <c r="B2" s="16" t="s">
        <v>163</v>
      </c>
    </row>
    <row r="3" customFormat="false" ht="15" hidden="false" customHeight="true" outlineLevel="0" collapsed="false">
      <c r="B3" s="17" t="s">
        <v>164</v>
      </c>
      <c r="C3" s="17" t="s">
        <v>165</v>
      </c>
      <c r="D3" s="17" t="s">
        <v>166</v>
      </c>
      <c r="E3" s="17" t="s">
        <v>167</v>
      </c>
      <c r="G3" s="1" t="s">
        <v>168</v>
      </c>
      <c r="H3" s="1" t="s">
        <v>169</v>
      </c>
    </row>
    <row r="4" customFormat="false" ht="15" hidden="false" customHeight="true" outlineLevel="0" collapsed="false">
      <c r="B4" s="18" t="n">
        <v>1</v>
      </c>
      <c r="C4" s="19" t="s">
        <v>170</v>
      </c>
      <c r="D4" s="19" t="s">
        <v>171</v>
      </c>
      <c r="E4" s="18" t="n">
        <f aca="false">COUNTA('1. Operaciones'!$B$4:$B$103)</f>
        <v>100</v>
      </c>
      <c r="G4" s="1" t="s">
        <v>157</v>
      </c>
      <c r="H4" s="20" t="n">
        <f aca="false">AVERAGEIF('1. Operaciones'!$M$4:$M$103,G4,'1. Operaciones'!$S$4:$S$103)</f>
        <v>0.329987013890724</v>
      </c>
    </row>
    <row r="5" customFormat="false" ht="15" hidden="false" customHeight="true" outlineLevel="0" collapsed="false">
      <c r="B5" s="18" t="n">
        <v>2</v>
      </c>
      <c r="C5" s="19" t="s">
        <v>172</v>
      </c>
      <c r="D5" s="19" t="s">
        <v>173</v>
      </c>
      <c r="E5" s="18" t="n">
        <f aca="false">COUNTIF('1. Operaciones'!$J$4:$J$103,"Pendiente")</f>
        <v>15</v>
      </c>
      <c r="G5" s="1" t="s">
        <v>160</v>
      </c>
      <c r="H5" s="20" t="n">
        <f aca="false">AVERAGEIF('1. Operaciones'!$M$4:$M$103,G5,'1. Operaciones'!$S$4:$S$103)</f>
        <v>0.323212970254296</v>
      </c>
    </row>
    <row r="6" customFormat="false" ht="15" hidden="false" customHeight="true" outlineLevel="0" collapsed="false">
      <c r="B6" s="18" t="n">
        <v>3</v>
      </c>
      <c r="C6" s="19" t="s">
        <v>174</v>
      </c>
      <c r="D6" s="19" t="s">
        <v>175</v>
      </c>
      <c r="E6" s="18" t="str">
        <f aca="false">INDEX('5. Tablas Dinamicas'!$B$6:$B$11,MATCH(MAX('5. Tablas Dinamicas'!$D$6:$D$11),'5. Tablas Dinamicas'!$D$6:$D$11,0))</f>
        <v>EE.UU.</v>
      </c>
      <c r="G6" s="1" t="s">
        <v>162</v>
      </c>
      <c r="H6" s="20" t="n">
        <f aca="false">AVERAGEIF('1. Operaciones'!$M$4:$M$103,G6,'1. Operaciones'!$S$4:$S$103)</f>
        <v>0.320404242087925</v>
      </c>
    </row>
    <row r="7" customFormat="false" ht="15" hidden="false" customHeight="true" outlineLevel="0" collapsed="false">
      <c r="B7" s="18" t="n">
        <v>4</v>
      </c>
      <c r="C7" s="19" t="s">
        <v>176</v>
      </c>
      <c r="D7" s="19" t="s">
        <v>177</v>
      </c>
      <c r="E7" s="18" t="str">
        <f aca="false">INDEX('5. Tablas Dinamicas'!$B$6:$B$11,MATCH(MAX('5. Tablas Dinamicas'!$C$6:$C$11),'5. Tablas Dinamicas'!$C$6:$C$11,0))</f>
        <v>EE.UU.</v>
      </c>
    </row>
    <row r="8" customFormat="false" ht="15" hidden="false" customHeight="true" outlineLevel="0" collapsed="false">
      <c r="B8" s="18" t="n">
        <v>5</v>
      </c>
      <c r="C8" s="19" t="s">
        <v>178</v>
      </c>
      <c r="D8" s="19" t="s">
        <v>179</v>
      </c>
      <c r="E8" s="18" t="str">
        <f aca="false">INDEX('5. Tablas Dinamicas'!$F$6:$F$10,MATCH(MAX('5. Tablas Dinamicas'!$G$6:$G$10),'5. Tablas Dinamicas'!$G$6:$G$10,0))</f>
        <v>Café especial</v>
      </c>
    </row>
    <row r="9" customFormat="false" ht="15" hidden="false" customHeight="true" outlineLevel="0" collapsed="false">
      <c r="B9" s="18" t="n">
        <v>6</v>
      </c>
      <c r="C9" s="19" t="s">
        <v>180</v>
      </c>
      <c r="D9" s="19" t="s">
        <v>181</v>
      </c>
      <c r="E9" s="18" t="str">
        <f aca="false">INDEX('5. Tablas Dinamicas'!$B$16:$B$20,MATCH(MAX('5. Tablas Dinamicas'!$C$16:$C$20),'5. Tablas Dinamicas'!$C$16:$C$20,0))</f>
        <v>Café especial</v>
      </c>
    </row>
    <row r="10" customFormat="false" ht="15" hidden="false" customHeight="true" outlineLevel="0" collapsed="false">
      <c r="B10" s="18" t="n">
        <v>7</v>
      </c>
      <c r="C10" s="19" t="s">
        <v>182</v>
      </c>
      <c r="D10" s="19" t="s">
        <v>183</v>
      </c>
      <c r="E10" s="18" t="str">
        <f aca="false">INDEX(G4:G6,MATCH(MAX(H4:H6),H4:H6,0))</f>
        <v>Norteamérica</v>
      </c>
    </row>
    <row r="11" customFormat="false" ht="15" hidden="false" customHeight="true" outlineLevel="0" collapsed="false">
      <c r="B11" s="18" t="n">
        <v>8</v>
      </c>
      <c r="C11" s="19" t="s">
        <v>184</v>
      </c>
      <c r="D11" s="19" t="s">
        <v>185</v>
      </c>
      <c r="E11" s="18" t="n">
        <f aca="false">COUNTIF('1. Operaciones'!$T$4:$T$103,"Alta")</f>
        <v>82</v>
      </c>
    </row>
    <row r="12" customFormat="false" ht="15" hidden="false" customHeight="true" outlineLevel="0" collapsed="false">
      <c r="B12" s="18" t="n">
        <v>9</v>
      </c>
      <c r="C12" s="19" t="s">
        <v>186</v>
      </c>
      <c r="D12" s="19" t="s">
        <v>187</v>
      </c>
      <c r="E12" s="18" t="n">
        <f aca="false">SUMIF('1. Operaciones'!$M$4:$M$103,"Centroamérica",'1. Operaciones'!$P$4:$P$103)</f>
        <v>232879</v>
      </c>
    </row>
    <row r="13" customFormat="false" ht="15" hidden="false" customHeight="true" outlineLevel="0" collapsed="false">
      <c r="B13" s="18" t="n">
        <v>10</v>
      </c>
      <c r="C13" s="19" t="s">
        <v>188</v>
      </c>
      <c r="D13" s="19" t="s">
        <v>189</v>
      </c>
      <c r="E13" s="18" t="n">
        <f aca="false">SUMIF('1. Operaciones'!$M$4:$M$103,"Norteamérica",'1. Operaciones'!$P$4:$P$103)</f>
        <v>289058</v>
      </c>
    </row>
    <row r="14" customFormat="false" ht="15" hidden="false" customHeight="true" outlineLevel="0" collapsed="false">
      <c r="B14" s="18" t="n">
        <v>11</v>
      </c>
      <c r="C14" s="19" t="s">
        <v>190</v>
      </c>
      <c r="D14" s="19" t="s">
        <v>191</v>
      </c>
      <c r="E14" s="18" t="n">
        <f aca="false">SUMIF('1. Operaciones'!$M$4:$M$103,"Europa",'1. Operaciones'!$P$4:$P$103)</f>
        <v>136328</v>
      </c>
    </row>
    <row r="15" customFormat="false" ht="15" hidden="false" customHeight="true" outlineLevel="0" collapsed="false">
      <c r="B15" s="18" t="n">
        <v>12</v>
      </c>
      <c r="C15" s="19" t="s">
        <v>192</v>
      </c>
      <c r="D15" s="19" t="s">
        <v>193</v>
      </c>
      <c r="E15" s="18" t="n">
        <f aca="false">COUNTIF('1. Operaciones'!$V$4:$V$103,"Alta")</f>
        <v>48</v>
      </c>
    </row>
    <row r="16" customFormat="false" ht="15" hidden="false" customHeight="true" outlineLevel="0" collapsed="false">
      <c r="B16" s="18" t="n">
        <v>13</v>
      </c>
      <c r="C16" s="19" t="s">
        <v>194</v>
      </c>
      <c r="D16" s="19" t="s">
        <v>195</v>
      </c>
      <c r="E16" s="18" t="str">
        <f aca="false">INDEX('5. Tablas Dinamicas'!$F$15:$F$19,MATCH(MAX('5. Tablas Dinamicas'!$G$15:$G$19),'5. Tablas Dinamicas'!$G$15:$G$19,0))</f>
        <v>Global Foods</v>
      </c>
    </row>
    <row r="17" customFormat="false" ht="15" hidden="false" customHeight="true" outlineLevel="0" collapsed="false">
      <c r="B17" s="18" t="n">
        <v>14</v>
      </c>
      <c r="C17" s="19" t="s">
        <v>196</v>
      </c>
      <c r="D17" s="19" t="s">
        <v>173</v>
      </c>
      <c r="E17" s="18" t="n">
        <f aca="false">COUNTIF('1. Operaciones'!$J$4:$J$103,"Pendiente")</f>
        <v>15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G3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2" min="2" style="1" width="22"/>
    <col collapsed="false" customWidth="true" hidden="false" outlineLevel="0" max="3" min="3" style="1" width="18"/>
    <col collapsed="false" customWidth="true" hidden="false" outlineLevel="0" max="4" min="4" style="1" width="16"/>
    <col collapsed="false" customWidth="true" hidden="false" outlineLevel="0" max="6" min="6" style="1" width="18"/>
    <col collapsed="false" customWidth="true" hidden="false" outlineLevel="0" max="7" min="7" style="1" width="16"/>
  </cols>
  <sheetData>
    <row r="2" customFormat="false" ht="15.75" hidden="false" customHeight="true" outlineLevel="0" collapsed="false">
      <c r="B2" s="16" t="s">
        <v>197</v>
      </c>
    </row>
    <row r="4" customFormat="false" ht="15" hidden="false" customHeight="true" outlineLevel="0" collapsed="false">
      <c r="B4" s="21" t="s">
        <v>198</v>
      </c>
      <c r="F4" s="21" t="s">
        <v>199</v>
      </c>
    </row>
    <row r="5" customFormat="false" ht="15" hidden="false" customHeight="true" outlineLevel="0" collapsed="false">
      <c r="B5" s="22" t="s">
        <v>155</v>
      </c>
      <c r="C5" s="22" t="s">
        <v>200</v>
      </c>
      <c r="D5" s="17" t="s">
        <v>201</v>
      </c>
      <c r="F5" s="22" t="s">
        <v>9</v>
      </c>
      <c r="G5" s="22" t="s">
        <v>202</v>
      </c>
    </row>
    <row r="6" customFormat="false" ht="15" hidden="false" customHeight="true" outlineLevel="0" collapsed="false">
      <c r="B6" s="18" t="s">
        <v>29</v>
      </c>
      <c r="C6" s="23" t="n">
        <f aca="false">SUMIF('1. Operaciones'!$F$4:$F$103,B6,'1. Operaciones'!$P$4:$P$103)</f>
        <v>168745</v>
      </c>
      <c r="D6" s="18" t="n">
        <f aca="false">COUNTIF('1. Operaciones'!$F$4:$F$103,B6)</f>
        <v>20</v>
      </c>
      <c r="F6" s="18" t="s">
        <v>142</v>
      </c>
      <c r="G6" s="18" t="n">
        <f aca="false">SUMIF('1. Operaciones'!$K$4:$K$103,F6,'1. Operaciones'!$G$4:$G$103)</f>
        <v>26180</v>
      </c>
    </row>
    <row r="7" customFormat="false" ht="15" hidden="false" customHeight="true" outlineLevel="0" collapsed="false">
      <c r="B7" s="18" t="s">
        <v>43</v>
      </c>
      <c r="C7" s="23" t="n">
        <f aca="false">SUMIF('1. Operaciones'!$F$4:$F$103,B7,'1. Operaciones'!$P$4:$P$103)</f>
        <v>120313</v>
      </c>
      <c r="D7" s="18" t="n">
        <f aca="false">COUNTIF('1. Operaciones'!$F$4:$F$103,B7)</f>
        <v>20</v>
      </c>
      <c r="F7" s="18" t="s">
        <v>145</v>
      </c>
      <c r="G7" s="18" t="n">
        <f aca="false">SUMIF('1. Operaciones'!$K$4:$K$103,F7,'1. Operaciones'!$G$4:$G$103)</f>
        <v>16000</v>
      </c>
    </row>
    <row r="8" customFormat="false" ht="15" hidden="false" customHeight="true" outlineLevel="0" collapsed="false">
      <c r="B8" s="18" t="s">
        <v>24</v>
      </c>
      <c r="C8" s="23" t="n">
        <f aca="false">SUMIF('1. Operaciones'!$F$4:$F$103,B8,'1. Operaciones'!$P$4:$P$103)</f>
        <v>119335</v>
      </c>
      <c r="D8" s="18" t="n">
        <f aca="false">COUNTIF('1. Operaciones'!$F$4:$F$103,B8)</f>
        <v>20</v>
      </c>
      <c r="F8" s="18" t="s">
        <v>147</v>
      </c>
      <c r="G8" s="18" t="n">
        <f aca="false">SUMIF('1. Operaciones'!$K$4:$K$103,F8,'1. Operaciones'!$G$4:$G$103)</f>
        <v>24180</v>
      </c>
    </row>
    <row r="9" customFormat="false" ht="15" hidden="false" customHeight="true" outlineLevel="0" collapsed="false">
      <c r="B9" s="18" t="s">
        <v>34</v>
      </c>
      <c r="C9" s="23" t="n">
        <f aca="false">SUMIF('1. Operaciones'!$F$4:$F$103,B9,'1. Operaciones'!$P$4:$P$103)</f>
        <v>113544</v>
      </c>
      <c r="D9" s="18" t="n">
        <f aca="false">COUNTIF('1. Operaciones'!$F$4:$F$103,B9)</f>
        <v>20</v>
      </c>
      <c r="F9" s="18" t="s">
        <v>149</v>
      </c>
      <c r="G9" s="18" t="n">
        <f aca="false">SUMIF('1. Operaciones'!$K$4:$K$103,F9,'1. Operaciones'!$G$4:$G$103)</f>
        <v>14580</v>
      </c>
    </row>
    <row r="10" customFormat="false" ht="15" hidden="false" customHeight="true" outlineLevel="0" collapsed="false">
      <c r="B10" s="18" t="s">
        <v>161</v>
      </c>
      <c r="C10" s="23" t="n">
        <f aca="false">SUMIF('1. Operaciones'!$F$4:$F$103,B10,'1. Operaciones'!$P$4:$P$103)</f>
        <v>0</v>
      </c>
      <c r="D10" s="18" t="n">
        <f aca="false">COUNTIF('1. Operaciones'!$F$4:$F$103,B10)</f>
        <v>0</v>
      </c>
      <c r="F10" s="18" t="s">
        <v>151</v>
      </c>
      <c r="G10" s="18" t="n">
        <f aca="false">SUMIF('1. Operaciones'!$K$4:$K$103,F10,'1. Operaciones'!$G$4:$G$103)</f>
        <v>11110</v>
      </c>
    </row>
    <row r="11" customFormat="false" ht="15" hidden="false" customHeight="true" outlineLevel="0" collapsed="false">
      <c r="B11" s="18" t="s">
        <v>38</v>
      </c>
      <c r="C11" s="23" t="n">
        <f aca="false">SUMIF('1. Operaciones'!$F$4:$F$103,B11,'1. Operaciones'!$P$4:$P$103)</f>
        <v>136328</v>
      </c>
      <c r="D11" s="18" t="n">
        <f aca="false">COUNTIF('1. Operaciones'!$F$4:$F$103,B11)</f>
        <v>20</v>
      </c>
      <c r="F11" s="18" t="s">
        <v>203</v>
      </c>
      <c r="G11" s="18" t="n">
        <f aca="false">SUM(G6:G10)</f>
        <v>92050</v>
      </c>
    </row>
    <row r="12" customFormat="false" ht="15" hidden="false" customHeight="true" outlineLevel="0" collapsed="false">
      <c r="B12" s="18" t="s">
        <v>203</v>
      </c>
      <c r="C12" s="23" t="n">
        <f aca="false">SUM(C6:C11)</f>
        <v>658265</v>
      </c>
      <c r="D12" s="24" t="n">
        <f aca="false">SUM(D6:D11)</f>
        <v>100</v>
      </c>
    </row>
    <row r="13" customFormat="false" ht="15" hidden="false" customHeight="true" outlineLevel="0" collapsed="false">
      <c r="F13" s="21" t="s">
        <v>204</v>
      </c>
    </row>
    <row r="14" customFormat="false" ht="15" hidden="false" customHeight="true" outlineLevel="0" collapsed="false">
      <c r="B14" s="21" t="s">
        <v>205</v>
      </c>
      <c r="F14" s="22" t="s">
        <v>2</v>
      </c>
      <c r="G14" s="22" t="s">
        <v>200</v>
      </c>
    </row>
    <row r="15" customFormat="false" ht="15" hidden="false" customHeight="true" outlineLevel="0" collapsed="false">
      <c r="B15" s="22" t="s">
        <v>9</v>
      </c>
      <c r="C15" s="22" t="s">
        <v>206</v>
      </c>
      <c r="F15" s="18" t="s">
        <v>22</v>
      </c>
      <c r="G15" s="18" t="n">
        <f aca="false">SUMIF('1. Operaciones'!$D$4:$D$103,F15,'1. Operaciones'!$P$4:$P$103)</f>
        <v>119335</v>
      </c>
    </row>
    <row r="16" customFormat="false" ht="15" hidden="false" customHeight="true" outlineLevel="0" collapsed="false">
      <c r="B16" s="18" t="s">
        <v>142</v>
      </c>
      <c r="C16" s="23" t="n">
        <f aca="false">SUMIF('1. Operaciones'!$K$4:$K$103,B16,'1. Operaciones'!$R$4:$R$103)</f>
        <v>62832</v>
      </c>
      <c r="F16" s="18" t="s">
        <v>27</v>
      </c>
      <c r="G16" s="18" t="n">
        <f aca="false">SUMIF('1. Operaciones'!$D$4:$D$103,F16,'1. Operaciones'!$P$4:$P$103)</f>
        <v>168745</v>
      </c>
    </row>
    <row r="17" customFormat="false" ht="15" hidden="false" customHeight="true" outlineLevel="0" collapsed="false">
      <c r="B17" s="18" t="s">
        <v>145</v>
      </c>
      <c r="C17" s="23" t="n">
        <f aca="false">SUMIF('1. Operaciones'!$K$4:$K$103,B17,'1. Operaciones'!$R$4:$R$103)</f>
        <v>36800</v>
      </c>
      <c r="F17" s="18" t="s">
        <v>32</v>
      </c>
      <c r="G17" s="18" t="n">
        <f aca="false">SUMIF('1. Operaciones'!$D$4:$D$103,F17,'1. Operaciones'!$P$4:$P$103)</f>
        <v>113544</v>
      </c>
    </row>
    <row r="18" customFormat="false" ht="15" hidden="false" customHeight="true" outlineLevel="0" collapsed="false">
      <c r="B18" s="18" t="s">
        <v>147</v>
      </c>
      <c r="C18" s="23" t="n">
        <f aca="false">SUMIF('1. Operaciones'!$K$4:$K$103,B18,'1. Operaciones'!$R$4:$R$103)</f>
        <v>38688</v>
      </c>
      <c r="F18" s="18" t="s">
        <v>36</v>
      </c>
      <c r="G18" s="18" t="n">
        <f aca="false">SUMIF('1. Operaciones'!$D$4:$D$103,F18,'1. Operaciones'!$P$4:$P$103)</f>
        <v>136328</v>
      </c>
    </row>
    <row r="19" customFormat="false" ht="15" hidden="false" customHeight="true" outlineLevel="0" collapsed="false">
      <c r="B19" s="18" t="s">
        <v>149</v>
      </c>
      <c r="C19" s="23" t="n">
        <f aca="false">SUMIF('1. Operaciones'!$K$4:$K$103,B19,'1. Operaciones'!$R$4:$R$103)</f>
        <v>33534</v>
      </c>
      <c r="F19" s="18" t="s">
        <v>41</v>
      </c>
      <c r="G19" s="18" t="n">
        <f aca="false">SUMIF('1. Operaciones'!$D$4:$D$103,F19,'1. Operaciones'!$P$4:$P$103)</f>
        <v>120313</v>
      </c>
    </row>
    <row r="20" customFormat="false" ht="15" hidden="false" customHeight="true" outlineLevel="0" collapsed="false">
      <c r="B20" s="18" t="s">
        <v>151</v>
      </c>
      <c r="C20" s="23" t="n">
        <f aca="false">SUMIF('1. Operaciones'!$K$4:$K$103,B20,'1. Operaciones'!$R$4:$R$103)</f>
        <v>42218</v>
      </c>
      <c r="F20" s="18" t="s">
        <v>203</v>
      </c>
      <c r="G20" s="18" t="n">
        <f aca="false">SUM(G15:G19)</f>
        <v>658265</v>
      </c>
    </row>
    <row r="21" customFormat="false" ht="15" hidden="false" customHeight="true" outlineLevel="0" collapsed="false">
      <c r="B21" s="18" t="s">
        <v>203</v>
      </c>
      <c r="C21" s="23" t="n">
        <f aca="false">SUM(C16:C20)</f>
        <v>214072</v>
      </c>
    </row>
    <row r="23" customFormat="false" ht="15" hidden="false" customHeight="true" outlineLevel="0" collapsed="false">
      <c r="B23" s="21" t="s">
        <v>207</v>
      </c>
    </row>
    <row r="24" customFormat="false" ht="15" hidden="false" customHeight="true" outlineLevel="0" collapsed="false">
      <c r="B24" s="22" t="s">
        <v>11</v>
      </c>
      <c r="C24" s="22" t="s">
        <v>200</v>
      </c>
    </row>
    <row r="25" customFormat="false" ht="15" hidden="false" customHeight="true" outlineLevel="0" collapsed="false">
      <c r="B25" s="18" t="s">
        <v>157</v>
      </c>
      <c r="C25" s="23" t="n">
        <f aca="false">SUMIF('1. Operaciones'!$M$4:$M$103,B25,'1. Operaciones'!$P$4:$P$103)</f>
        <v>289058</v>
      </c>
    </row>
    <row r="26" customFormat="false" ht="15" hidden="false" customHeight="true" outlineLevel="0" collapsed="false">
      <c r="B26" s="18" t="s">
        <v>160</v>
      </c>
      <c r="C26" s="23" t="n">
        <f aca="false">SUMIF('1. Operaciones'!$M$4:$M$103,B26,'1. Operaciones'!$P$4:$P$103)</f>
        <v>232879</v>
      </c>
    </row>
    <row r="27" customFormat="false" ht="15" hidden="false" customHeight="true" outlineLevel="0" collapsed="false">
      <c r="B27" s="18" t="s">
        <v>162</v>
      </c>
      <c r="C27" s="23" t="n">
        <f aca="false">SUMIF('1. Operaciones'!$M$4:$M$103,B27,'1. Operaciones'!$P$4:$P$103)</f>
        <v>136328</v>
      </c>
    </row>
    <row r="28" customFormat="false" ht="15" hidden="false" customHeight="true" outlineLevel="0" collapsed="false">
      <c r="B28" s="18" t="s">
        <v>203</v>
      </c>
      <c r="C28" s="23" t="n">
        <f aca="false">SUM(C25:C27)</f>
        <v>658265</v>
      </c>
    </row>
    <row r="30" customFormat="false" ht="15" hidden="false" customHeight="true" outlineLevel="0" collapsed="false">
      <c r="B30" s="21" t="s">
        <v>208</v>
      </c>
    </row>
    <row r="31" customFormat="false" ht="15" hidden="false" customHeight="true" outlineLevel="0" collapsed="false">
      <c r="B31" s="22" t="s">
        <v>20</v>
      </c>
      <c r="C31" s="22" t="s">
        <v>201</v>
      </c>
    </row>
    <row r="32" customFormat="false" ht="15" hidden="false" customHeight="true" outlineLevel="0" collapsed="false">
      <c r="B32" s="18" t="s">
        <v>209</v>
      </c>
      <c r="C32" s="18" t="n">
        <f aca="false">COUNTIF('1. Operaciones'!$V$4:$V$103,B32)</f>
        <v>48</v>
      </c>
    </row>
    <row r="33" customFormat="false" ht="15" hidden="false" customHeight="true" outlineLevel="0" collapsed="false">
      <c r="B33" s="18" t="s">
        <v>210</v>
      </c>
      <c r="C33" s="18" t="n">
        <f aca="false">COUNTIF('1. Operaciones'!$V$4:$V$103,B33)</f>
        <v>46</v>
      </c>
    </row>
    <row r="34" customFormat="false" ht="15" hidden="false" customHeight="true" outlineLevel="0" collapsed="false">
      <c r="B34" s="18" t="s">
        <v>211</v>
      </c>
      <c r="C34" s="18" t="n">
        <f aca="false">COUNTIF('1. Operaciones'!$V$4:$V$103,B34)</f>
        <v>6</v>
      </c>
    </row>
    <row r="35" customFormat="false" ht="15" hidden="false" customHeight="true" outlineLevel="0" collapsed="false">
      <c r="B35" s="18" t="s">
        <v>203</v>
      </c>
      <c r="C35" s="18" t="n">
        <f aca="false">SUM(C32:C34)</f>
        <v>100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sheetData>
    <row r="2" customFormat="false" ht="15.75" hidden="false" customHeight="true" outlineLevel="0" collapsed="false">
      <c r="B2" s="16" t="s">
        <v>212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2026-08-30T17:25:07Z</dcterms:created>
  <dc:creator>Cèsar Marìn</dc:creator>
  <dc:description/>
  <dc:language>en-US</dc:language>
  <cp:lastModifiedBy/>
  <dcterms:modified xsi:type="dcterms:W3CDTF">2026-09-03T19:58:51Z</dcterms:modified>
  <cp:revision>5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